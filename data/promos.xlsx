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7DB70400-12A5-4A30-BF17-FF83C86313DC}" xr6:coauthVersionLast="47" xr6:coauthVersionMax="47" xr10:uidLastSave="{00000000-0000-0000-0000-000000000000}"/>
  <bookViews>
    <workbookView xWindow="-108" yWindow="-108" windowWidth="23256" windowHeight="12456" xr2:uid="{A4877DC4-07E4-46FB-A168-00570563EEFC}"/>
  </bookViews>
  <sheets>
    <sheet name="Promos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2" l="1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<sst xmlns="http://schemas.openxmlformats.org/spreadsheetml/2006/main" count="370" uniqueCount="171">
  <si>
    <t>PromoID</t>
  </si>
  <si>
    <t>SKU</t>
  </si>
  <si>
    <t>StoreID</t>
  </si>
  <si>
    <t>WeekStart</t>
  </si>
  <si>
    <t>WeekEnd</t>
  </si>
  <si>
    <t>Mechanic</t>
  </si>
  <si>
    <t>Depth_Pct</t>
  </si>
  <si>
    <t>FeatureDisplayFlag</t>
  </si>
  <si>
    <t>CoopFunding_LCU</t>
  </si>
  <si>
    <t>Comments</t>
  </si>
  <si>
    <t>PR001</t>
  </si>
  <si>
    <t>SKU001</t>
  </si>
  <si>
    <t>ST001</t>
  </si>
  <si>
    <t>Price Cut</t>
  </si>
  <si>
    <t>Winter Start Deal</t>
  </si>
  <si>
    <t>PR002</t>
  </si>
  <si>
    <t>SKU002</t>
  </si>
  <si>
    <t>ST002</t>
  </si>
  <si>
    <t>Leaflet + Discount</t>
  </si>
  <si>
    <t>Valentine Offer</t>
  </si>
  <si>
    <t>PR003</t>
  </si>
  <si>
    <t>SKU003</t>
  </si>
  <si>
    <t>ST004</t>
  </si>
  <si>
    <t>Easter Promo</t>
  </si>
  <si>
    <t>PR004</t>
  </si>
  <si>
    <t>SKU004</t>
  </si>
  <si>
    <t>Multi-buy</t>
  </si>
  <si>
    <t>Family Pack Deal</t>
  </si>
  <si>
    <t>PR005</t>
  </si>
  <si>
    <t>SKU005</t>
  </si>
  <si>
    <t>ST003</t>
  </si>
  <si>
    <t>Summer Start</t>
  </si>
  <si>
    <t>PR006</t>
  </si>
  <si>
    <t>Feature + Discount</t>
  </si>
  <si>
    <t>Back to School</t>
  </si>
  <si>
    <t>PR007</t>
  </si>
  <si>
    <t>Autumn Refresh</t>
  </si>
  <si>
    <t>PR008</t>
  </si>
  <si>
    <t>ST005</t>
  </si>
  <si>
    <t>Winter Boost</t>
  </si>
  <si>
    <t>PR009</t>
  </si>
  <si>
    <t>Family Promotion</t>
  </si>
  <si>
    <t>PR010</t>
  </si>
  <si>
    <t>Display Only</t>
  </si>
  <si>
    <t>Year-End Visibility</t>
  </si>
  <si>
    <t>PR011</t>
  </si>
  <si>
    <t>SKU006</t>
  </si>
  <si>
    <t>Early Summer Sale</t>
  </si>
  <si>
    <t>PR012</t>
  </si>
  <si>
    <t>SKU007</t>
  </si>
  <si>
    <t>Hydration Drive</t>
  </si>
  <si>
    <t>PR013</t>
  </si>
  <si>
    <t>SKU008</t>
  </si>
  <si>
    <t>Summer Push</t>
  </si>
  <si>
    <t>PR014</t>
  </si>
  <si>
    <t>SKU009</t>
  </si>
  <si>
    <t>2+1 Pack Offer</t>
  </si>
  <si>
    <t>PR015</t>
  </si>
  <si>
    <t>Summer Shelf Visibility</t>
  </si>
  <si>
    <t>PR016</t>
  </si>
  <si>
    <t>Heatwave Offer</t>
  </si>
  <si>
    <t>PR017</t>
  </si>
  <si>
    <t>August Sales Drive</t>
  </si>
  <si>
    <t>PR018</t>
  </si>
  <si>
    <t>Late Summer Promo</t>
  </si>
  <si>
    <t>PR019</t>
  </si>
  <si>
    <t>Display + Discount</t>
  </si>
  <si>
    <t>End of Summer</t>
  </si>
  <si>
    <t>PR020</t>
  </si>
  <si>
    <t>Autumn Drive</t>
  </si>
  <si>
    <t>PR021</t>
  </si>
  <si>
    <t>Online Awareness</t>
  </si>
  <si>
    <t>PR022</t>
  </si>
  <si>
    <t>Year-End Water Promo</t>
  </si>
  <si>
    <t>PR023</t>
  </si>
  <si>
    <t>SKU010</t>
  </si>
  <si>
    <t>Intro Offer</t>
  </si>
  <si>
    <t>Infant Formula Launch</t>
  </si>
  <si>
    <t>PR024</t>
  </si>
  <si>
    <t>SKU011</t>
  </si>
  <si>
    <t>Awareness Campaign</t>
  </si>
  <si>
    <t>PR025</t>
  </si>
  <si>
    <t>SKU012</t>
  </si>
  <si>
    <t>PR026</t>
  </si>
  <si>
    <t>SKU013</t>
  </si>
  <si>
    <t>Bundle Offer</t>
  </si>
  <si>
    <t>Holiday Gift Pack</t>
  </si>
  <si>
    <t>PR027</t>
  </si>
  <si>
    <t>Early Spring Push</t>
  </si>
  <si>
    <t>PR028</t>
  </si>
  <si>
    <t>Easter Feature</t>
  </si>
  <si>
    <t>PR029</t>
  </si>
  <si>
    <t>Family Offer</t>
  </si>
  <si>
    <t>PR030</t>
  </si>
  <si>
    <t>May Campaign</t>
  </si>
  <si>
    <t>PR031</t>
  </si>
  <si>
    <t>Kids Drink Drive</t>
  </si>
  <si>
    <t>PR032</t>
  </si>
  <si>
    <t>Hot Season Discount</t>
  </si>
  <si>
    <t>PR033</t>
  </si>
  <si>
    <t>PR034</t>
  </si>
  <si>
    <t>Autumn Boost</t>
  </si>
  <si>
    <t>PR035</t>
  </si>
  <si>
    <t>Fall Special</t>
  </si>
  <si>
    <t>PR036</t>
  </si>
  <si>
    <t>End of Year</t>
  </si>
  <si>
    <t>PR037</t>
  </si>
  <si>
    <t>Spring Hydration</t>
  </si>
  <si>
    <t>PR038</t>
  </si>
  <si>
    <t>May Boost</t>
  </si>
  <si>
    <t>PR039</t>
  </si>
  <si>
    <t>Summer Entry</t>
  </si>
  <si>
    <t>PR040</t>
  </si>
  <si>
    <t>Water Family Pack</t>
  </si>
  <si>
    <t>PR041</t>
  </si>
  <si>
    <t>Summer Shelf</t>
  </si>
  <si>
    <t>PR042</t>
  </si>
  <si>
    <t>PR043</t>
  </si>
  <si>
    <t>August Refresh</t>
  </si>
  <si>
    <t>PR044</t>
  </si>
  <si>
    <t>PR045</t>
  </si>
  <si>
    <t>PR046</t>
  </si>
  <si>
    <t>Online Hydration Drive</t>
  </si>
  <si>
    <t>PR047</t>
  </si>
  <si>
    <t>Year-End Deal</t>
  </si>
  <si>
    <t>PR048</t>
  </si>
  <si>
    <t>Holiday Sale</t>
  </si>
  <si>
    <t>PR049</t>
  </si>
  <si>
    <t>Baby Awareness</t>
  </si>
  <si>
    <t>PR050</t>
  </si>
  <si>
    <t>Summer Formula Deal</t>
  </si>
  <si>
    <t>PR051</t>
  </si>
  <si>
    <t>Toddler Offer</t>
  </si>
  <si>
    <t>PR052</t>
  </si>
  <si>
    <t>Holiday Offer</t>
  </si>
  <si>
    <t>PR053</t>
  </si>
  <si>
    <t>Spring Campaign</t>
  </si>
  <si>
    <t>PR054</t>
  </si>
  <si>
    <t>Spring Promo</t>
  </si>
  <si>
    <t>PR055</t>
  </si>
  <si>
    <t>Family Pack Offer</t>
  </si>
  <si>
    <t>PR056</t>
  </si>
  <si>
    <t>PR057</t>
  </si>
  <si>
    <t>PR058</t>
  </si>
  <si>
    <t>August Offer</t>
  </si>
  <si>
    <t>PR059</t>
  </si>
  <si>
    <t>PR060</t>
  </si>
  <si>
    <t>Autumn Kickoff</t>
  </si>
  <si>
    <t>PR061</t>
  </si>
  <si>
    <t>Fall Sale</t>
  </si>
  <si>
    <t>PR062</t>
  </si>
  <si>
    <t>Winter Offer</t>
  </si>
  <si>
    <t>PR063</t>
  </si>
  <si>
    <t>Holiday Baby Drive</t>
  </si>
  <si>
    <t>PR064</t>
  </si>
  <si>
    <t>Christmas Promo</t>
  </si>
  <si>
    <t>PR065</t>
  </si>
  <si>
    <t>Year-End Bundle</t>
  </si>
  <si>
    <t>PR066</t>
  </si>
  <si>
    <t>Early Year</t>
  </si>
  <si>
    <t>PR067</t>
  </si>
  <si>
    <t>Spring Offer</t>
  </si>
  <si>
    <t>PR068</t>
  </si>
  <si>
    <t>Easter</t>
  </si>
  <si>
    <t>PR069</t>
  </si>
  <si>
    <t>Family Pack</t>
  </si>
  <si>
    <t>PR070</t>
  </si>
  <si>
    <t>PR071</t>
  </si>
  <si>
    <t>Late Summer</t>
  </si>
  <si>
    <t>PR072</t>
  </si>
  <si>
    <t>Fall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</si>
</sst>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0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/>
    <xf numFmtId="1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164" formatCode="yyyy\-mm\-dd;@"/>
    </dxf>
    <dxf>
      <numFmt numFmtId="164" formatCode="yyyy\-mm\-dd;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CEFAA-AB51-434B-A45D-BEAC28D4A9E0}" name="Promos" displayName="Promos" ref="A1:J73" totalsRowShown="0" headerRowDxfId="10">
  <autoFilter ref="A1:J73" xr:uid="{5F9CEFAA-AB51-434B-A45D-BEAC28D4A9E0}"/>
  <tableColumns count="10">
    <tableColumn id="1" xr3:uid="{2DE1E755-77C4-448E-B21B-8971BAB2E8EA}" name="PromoID" dataDxfId="9"/>
    <tableColumn id="2" xr3:uid="{BE91E1AB-BCF9-42B7-96BF-86F8918D0BB8}" name="SKU" dataDxfId="8"/>
    <tableColumn id="3" xr3:uid="{6B3F87E1-31AB-4E54-9F91-F6C55DA32287}" name="StoreID" dataDxfId="7"/>
    <tableColumn id="4" xr3:uid="{7A621FB1-CDD6-47DF-9879-169E8F05A06C}" name="WeekStart" dataDxfId="6"/>
    <tableColumn id="5" xr3:uid="{CF8369B7-A04A-4E9B-9735-8EECFB9B9A03}" name="WeekEnd" dataDxfId="5"/>
    <tableColumn id="6" xr3:uid="{032A222A-CB04-43A6-AA68-9F704EA78859}" name="Mechanic" dataDxfId="4"/>
    <tableColumn id="7" xr3:uid="{FB2B6671-BEE4-4EA4-BDC6-D9644C8078BA}" name="Depth_Pct" dataDxfId="3"/>
    <tableColumn id="8" xr3:uid="{204B1B09-B28C-413E-9C97-0F93E955DEFF}" name="FeatureDisplayFlag" dataDxfId="2"/>
    <tableColumn id="9" xr3:uid="{B22E8B71-9EF5-42F1-A4FA-C4B51896CCFB}" name="CoopFunding_LCU" dataDxfId="1"/>
    <tableColumn id="10" xr3:uid="{A6CC01B5-E596-4004-8DDE-274EE3011F0A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2E77-5EDA-40B5-B309-B5B955E2B219}">
  <sheetPr codeName="Sheet5"/>
  <dimension ref="A1:J73"/>
  <sheetViews>
    <sheetView tabSelected="1" workbookViewId="0">
      <selection activeCell="G6" sqref="G6"/>
    </sheetView>
  </sheetViews>
  <sheetFormatPr defaultColWidth="22.77734375" defaultRowHeight="14.4" x14ac:dyDescent="0.3"/>
  <cols>
    <col min="1" max="1" width="10.33203125" style="5" customWidth="1"/>
    <col min="2" max="2" width="7.21875" style="5" bestFit="1" customWidth="1"/>
    <col min="3" max="3" width="9.109375" style="5" customWidth="1"/>
    <col min="4" max="4" width="11.6640625" style="6" customWidth="1"/>
    <col min="5" max="5" width="10.88671875" style="6" customWidth="1"/>
    <col min="6" max="6" width="16.33203125" style="5" bestFit="1" customWidth="1"/>
    <col min="7" max="7" width="11.6640625" style="7" customWidth="1"/>
    <col min="8" max="8" width="18.5546875" style="7" customWidth="1"/>
    <col min="9" max="9" width="18.44140625" style="7" customWidth="1"/>
    <col min="10" max="10" width="20" style="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8" t="s">
        <v>6</v>
      </c>
      <c r="H1" s="4" t="s">
        <v>7</v>
      </c>
      <c r="I1" s="4" t="s">
        <v>8</v>
      </c>
      <c r="J1" s="1" t="s">
        <v>9</v>
      </c>
    </row>
    <row r="2" spans="1:10" x14ac:dyDescent="0.3">
      <c r="A2" s="5" t="s">
        <v>10</v>
      </c>
      <c r="B2" s="5" t="s">
        <v>11</v>
      </c>
      <c r="C2" s="5" t="s">
        <v>12</v>
      </c>
      <c r="D2" s="6">
        <v>45383</v>
      </c>
      <c r="E2" s="6">
        <v>45413</v>
      </c>
      <c r="F2" s="5" t="s">
        <v>13</v>
      </c>
      <c r="G2" s="9">
        <v>0.15</v>
      </c>
      <c r="H2" s="7">
        <v>1</v>
      </c>
      <c r="I2" s="7">
        <v>120000</v>
      </c>
      <c r="J2" s="5" t="s">
        <v>14</v>
      </c>
    </row>
    <row r="3" spans="1:10" x14ac:dyDescent="0.3">
      <c r="A3" s="5" t="s">
        <v>15</v>
      </c>
      <c r="B3" s="5" t="s">
        <v>16</v>
      </c>
      <c r="C3" s="5" t="s">
        <v>17</v>
      </c>
      <c r="D3" s="6">
        <v>45444</v>
      </c>
      <c r="E3" s="6">
        <v>45474</v>
      </c>
      <c r="F3" s="5" t="s">
        <v>18</v>
      </c>
      <c r="G3" s="9">
        <v>0.2</v>
      </c>
      <c r="H3" s="7">
        <v>1</v>
      </c>
      <c r="I3" s="7">
        <v>95000</v>
      </c>
      <c r="J3" s="5" t="s">
        <v>19</v>
      </c>
    </row>
    <row r="4" spans="1:10" x14ac:dyDescent="0.3">
      <c r="A4" s="5" t="s">
        <v>20</v>
      </c>
      <c r="B4" s="5" t="s">
        <v>21</v>
      </c>
      <c r="C4" s="5" t="s">
        <v>22</v>
      </c>
      <c r="D4" s="6">
        <v>45597</v>
      </c>
      <c r="E4" s="6">
        <v>45627</v>
      </c>
      <c r="F4" s="5" t="s">
        <v>13</v>
      </c>
      <c r="G4" s="9">
        <f>0.25</f>
        <v>0.25</v>
      </c>
      <c r="H4" s="7">
        <v>0</v>
      </c>
      <c r="I4" s="7">
        <v>80000</v>
      </c>
      <c r="J4" s="5" t="s">
        <v>23</v>
      </c>
    </row>
    <row r="5" spans="1:10" x14ac:dyDescent="0.3">
      <c r="A5" s="5" t="s">
        <v>24</v>
      </c>
      <c r="B5" s="5" t="s">
        <v>25</v>
      </c>
      <c r="C5" s="5" t="s">
        <v>12</v>
      </c>
      <c r="D5" s="6">
        <v>45411</v>
      </c>
      <c r="E5" s="6">
        <v>45424</v>
      </c>
      <c r="F5" s="5" t="s">
        <v>26</v>
      </c>
      <c r="G5" s="9">
        <f>0.33</f>
        <v>0.33</v>
      </c>
      <c r="H5" s="7">
        <v>1</v>
      </c>
      <c r="I5" s="7">
        <v>110000</v>
      </c>
      <c r="J5" s="5" t="s">
        <v>27</v>
      </c>
    </row>
    <row r="6" spans="1:10" x14ac:dyDescent="0.3">
      <c r="A6" s="5" t="s">
        <v>28</v>
      </c>
      <c r="B6" s="5" t="s">
        <v>29</v>
      </c>
      <c r="C6" s="5" t="s">
        <v>30</v>
      </c>
      <c r="D6" s="6">
        <v>45467</v>
      </c>
      <c r="E6" s="6">
        <v>45480</v>
      </c>
      <c r="F6" s="5" t="s">
        <v>13</v>
      </c>
      <c r="G6" s="9">
        <f>0.2</f>
        <v>0.2</v>
      </c>
      <c r="H6" s="7">
        <v>0</v>
      </c>
      <c r="I6" s="7">
        <v>70000</v>
      </c>
      <c r="J6" s="5" t="s">
        <v>31</v>
      </c>
    </row>
    <row r="7" spans="1:10" x14ac:dyDescent="0.3">
      <c r="A7" s="5" t="s">
        <v>32</v>
      </c>
      <c r="B7" s="5" t="s">
        <v>11</v>
      </c>
      <c r="C7" s="5" t="s">
        <v>17</v>
      </c>
      <c r="D7" s="6">
        <v>45523</v>
      </c>
      <c r="E7" s="6">
        <v>45536</v>
      </c>
      <c r="F7" s="5" t="s">
        <v>33</v>
      </c>
      <c r="G7" s="9">
        <f>0.25</f>
        <v>0.25</v>
      </c>
      <c r="H7" s="7">
        <v>1</v>
      </c>
      <c r="I7" s="7">
        <v>100000</v>
      </c>
      <c r="J7" s="5" t="s">
        <v>34</v>
      </c>
    </row>
    <row r="8" spans="1:10" x14ac:dyDescent="0.3">
      <c r="A8" s="5" t="s">
        <v>35</v>
      </c>
      <c r="B8" s="5" t="s">
        <v>16</v>
      </c>
      <c r="C8" s="5" t="s">
        <v>22</v>
      </c>
      <c r="D8" s="6">
        <v>45579</v>
      </c>
      <c r="E8" s="6">
        <v>45592</v>
      </c>
      <c r="F8" s="5" t="s">
        <v>13</v>
      </c>
      <c r="G8" s="9">
        <f>0.15</f>
        <v>0.15</v>
      </c>
      <c r="H8" s="7">
        <v>0</v>
      </c>
      <c r="I8" s="7">
        <v>75000</v>
      </c>
      <c r="J8" s="5" t="s">
        <v>36</v>
      </c>
    </row>
    <row r="9" spans="1:10" x14ac:dyDescent="0.3">
      <c r="A9" s="5" t="s">
        <v>37</v>
      </c>
      <c r="B9" s="5" t="s">
        <v>21</v>
      </c>
      <c r="C9" s="5" t="s">
        <v>38</v>
      </c>
      <c r="D9" s="6">
        <v>45600</v>
      </c>
      <c r="E9" s="6">
        <v>45613</v>
      </c>
      <c r="F9" s="5" t="s">
        <v>18</v>
      </c>
      <c r="G9" s="9">
        <f>0.25</f>
        <v>0.25</v>
      </c>
      <c r="H9" s="7">
        <v>1</v>
      </c>
      <c r="I9" s="7">
        <v>85000</v>
      </c>
      <c r="J9" s="5" t="s">
        <v>39</v>
      </c>
    </row>
    <row r="10" spans="1:10" x14ac:dyDescent="0.3">
      <c r="A10" s="5" t="s">
        <v>40</v>
      </c>
      <c r="B10" s="5" t="s">
        <v>25</v>
      </c>
      <c r="C10" s="5" t="s">
        <v>12</v>
      </c>
      <c r="D10" s="6">
        <v>45614</v>
      </c>
      <c r="E10" s="6">
        <v>45627</v>
      </c>
      <c r="F10" s="5" t="s">
        <v>13</v>
      </c>
      <c r="G10" s="9">
        <f>0.15</f>
        <v>0.15</v>
      </c>
      <c r="H10" s="7">
        <v>0</v>
      </c>
      <c r="I10" s="7">
        <v>95000</v>
      </c>
      <c r="J10" s="5" t="s">
        <v>41</v>
      </c>
    </row>
    <row r="11" spans="1:10" x14ac:dyDescent="0.3">
      <c r="A11" s="5" t="s">
        <v>42</v>
      </c>
      <c r="B11" s="5" t="s">
        <v>29</v>
      </c>
      <c r="C11" s="5" t="s">
        <v>17</v>
      </c>
      <c r="D11" s="6">
        <v>45628</v>
      </c>
      <c r="E11" s="6">
        <v>45641</v>
      </c>
      <c r="F11" s="5" t="s">
        <v>43</v>
      </c>
      <c r="G11" s="9">
        <v>0</v>
      </c>
      <c r="H11" s="7">
        <v>1</v>
      </c>
      <c r="I11" s="7">
        <v>40000</v>
      </c>
      <c r="J11" s="5" t="s">
        <v>44</v>
      </c>
    </row>
    <row r="12" spans="1:10" x14ac:dyDescent="0.3">
      <c r="A12" s="5" t="s">
        <v>45</v>
      </c>
      <c r="B12" s="5" t="s">
        <v>46</v>
      </c>
      <c r="C12" s="5" t="s">
        <v>12</v>
      </c>
      <c r="D12" s="6">
        <v>45390</v>
      </c>
      <c r="E12" s="6">
        <v>45403</v>
      </c>
      <c r="F12" s="5" t="s">
        <v>13</v>
      </c>
      <c r="G12" s="9">
        <f>0.2</f>
        <v>0.2</v>
      </c>
      <c r="H12" s="7">
        <v>0</v>
      </c>
      <c r="I12" s="7">
        <v>80000</v>
      </c>
      <c r="J12" s="5" t="s">
        <v>47</v>
      </c>
    </row>
    <row r="13" spans="1:10" x14ac:dyDescent="0.3">
      <c r="A13" s="5" t="s">
        <v>48</v>
      </c>
      <c r="B13" s="5" t="s">
        <v>49</v>
      </c>
      <c r="C13" s="5" t="s">
        <v>17</v>
      </c>
      <c r="D13" s="6">
        <v>45411</v>
      </c>
      <c r="E13" s="6">
        <v>45424</v>
      </c>
      <c r="F13" s="5" t="s">
        <v>18</v>
      </c>
      <c r="G13" s="9">
        <v>0.25</v>
      </c>
      <c r="H13" s="7">
        <v>1</v>
      </c>
      <c r="I13" s="7">
        <v>95000</v>
      </c>
      <c r="J13" s="5" t="s">
        <v>50</v>
      </c>
    </row>
    <row r="14" spans="1:10" x14ac:dyDescent="0.3">
      <c r="A14" s="5" t="s">
        <v>51</v>
      </c>
      <c r="B14" s="5" t="s">
        <v>52</v>
      </c>
      <c r="C14" s="5" t="s">
        <v>30</v>
      </c>
      <c r="D14" s="6">
        <v>45425</v>
      </c>
      <c r="E14" s="6">
        <v>45438</v>
      </c>
      <c r="F14" s="5" t="s">
        <v>13</v>
      </c>
      <c r="G14" s="9">
        <v>0.3</v>
      </c>
      <c r="H14" s="7">
        <v>0</v>
      </c>
      <c r="I14" s="7">
        <v>90000</v>
      </c>
      <c r="J14" s="5" t="s">
        <v>53</v>
      </c>
    </row>
    <row r="15" spans="1:10" x14ac:dyDescent="0.3">
      <c r="A15" s="5" t="s">
        <v>54</v>
      </c>
      <c r="B15" s="5" t="s">
        <v>55</v>
      </c>
      <c r="C15" s="5" t="s">
        <v>22</v>
      </c>
      <c r="D15" s="6">
        <v>45453</v>
      </c>
      <c r="E15" s="6">
        <v>45466</v>
      </c>
      <c r="F15" s="5" t="s">
        <v>26</v>
      </c>
      <c r="G15" s="9">
        <v>0.33</v>
      </c>
      <c r="H15" s="7">
        <v>1</v>
      </c>
      <c r="I15" s="7">
        <v>110000</v>
      </c>
      <c r="J15" s="5" t="s">
        <v>56</v>
      </c>
    </row>
    <row r="16" spans="1:10" x14ac:dyDescent="0.3">
      <c r="A16" s="5" t="s">
        <v>57</v>
      </c>
      <c r="B16" s="5" t="s">
        <v>46</v>
      </c>
      <c r="C16" s="5" t="s">
        <v>17</v>
      </c>
      <c r="D16" s="6">
        <v>45474</v>
      </c>
      <c r="E16" s="6">
        <v>45487</v>
      </c>
      <c r="F16" s="5" t="s">
        <v>43</v>
      </c>
      <c r="G16" s="9">
        <v>0</v>
      </c>
      <c r="H16" s="7">
        <v>1</v>
      </c>
      <c r="I16" s="7">
        <v>45000</v>
      </c>
      <c r="J16" s="5" t="s">
        <v>58</v>
      </c>
    </row>
    <row r="17" spans="1:10" x14ac:dyDescent="0.3">
      <c r="A17" s="5" t="s">
        <v>59</v>
      </c>
      <c r="B17" s="5" t="s">
        <v>49</v>
      </c>
      <c r="C17" s="5" t="s">
        <v>12</v>
      </c>
      <c r="D17" s="6">
        <v>45488</v>
      </c>
      <c r="E17" s="6">
        <v>45501</v>
      </c>
      <c r="F17" s="5" t="s">
        <v>13</v>
      </c>
      <c r="G17" s="9">
        <v>0.2</v>
      </c>
      <c r="H17" s="7">
        <v>0</v>
      </c>
      <c r="I17" s="7">
        <v>85000</v>
      </c>
      <c r="J17" s="5" t="s">
        <v>60</v>
      </c>
    </row>
    <row r="18" spans="1:10" x14ac:dyDescent="0.3">
      <c r="A18" s="5" t="s">
        <v>61</v>
      </c>
      <c r="B18" s="5" t="s">
        <v>52</v>
      </c>
      <c r="C18" s="5" t="s">
        <v>22</v>
      </c>
      <c r="D18" s="6">
        <v>45502</v>
      </c>
      <c r="E18" s="6">
        <v>45515</v>
      </c>
      <c r="F18" s="5" t="s">
        <v>18</v>
      </c>
      <c r="G18" s="9">
        <v>0.25</v>
      </c>
      <c r="H18" s="7">
        <v>1</v>
      </c>
      <c r="I18" s="7">
        <v>92000</v>
      </c>
      <c r="J18" s="5" t="s">
        <v>62</v>
      </c>
    </row>
    <row r="19" spans="1:10" x14ac:dyDescent="0.3">
      <c r="A19" s="5" t="s">
        <v>63</v>
      </c>
      <c r="B19" s="5" t="s">
        <v>55</v>
      </c>
      <c r="C19" s="5" t="s">
        <v>17</v>
      </c>
      <c r="D19" s="6">
        <v>45516</v>
      </c>
      <c r="E19" s="6">
        <v>45529</v>
      </c>
      <c r="F19" s="5" t="s">
        <v>13</v>
      </c>
      <c r="G19" s="9">
        <v>0.2</v>
      </c>
      <c r="H19" s="7">
        <v>0</v>
      </c>
      <c r="I19" s="7">
        <v>87000</v>
      </c>
      <c r="J19" s="5" t="s">
        <v>64</v>
      </c>
    </row>
    <row r="20" spans="1:10" x14ac:dyDescent="0.3">
      <c r="A20" s="5" t="s">
        <v>65</v>
      </c>
      <c r="B20" s="5" t="s">
        <v>46</v>
      </c>
      <c r="C20" s="5" t="s">
        <v>30</v>
      </c>
      <c r="D20" s="6">
        <v>45530</v>
      </c>
      <c r="E20" s="6">
        <v>45543</v>
      </c>
      <c r="F20" s="5" t="s">
        <v>66</v>
      </c>
      <c r="G20" s="9">
        <v>0.25</v>
      </c>
      <c r="H20" s="7">
        <v>1</v>
      </c>
      <c r="I20" s="7">
        <v>94000</v>
      </c>
      <c r="J20" s="5" t="s">
        <v>67</v>
      </c>
    </row>
    <row r="21" spans="1:10" x14ac:dyDescent="0.3">
      <c r="A21" s="5" t="s">
        <v>68</v>
      </c>
      <c r="B21" s="5" t="s">
        <v>49</v>
      </c>
      <c r="C21" s="5" t="s">
        <v>22</v>
      </c>
      <c r="D21" s="6">
        <v>45579</v>
      </c>
      <c r="E21" s="6">
        <v>45592</v>
      </c>
      <c r="F21" s="5" t="s">
        <v>18</v>
      </c>
      <c r="G21" s="9">
        <v>0.2</v>
      </c>
      <c r="H21" s="7">
        <v>0</v>
      </c>
      <c r="I21" s="7">
        <v>86000</v>
      </c>
      <c r="J21" s="5" t="s">
        <v>69</v>
      </c>
    </row>
    <row r="22" spans="1:10" x14ac:dyDescent="0.3">
      <c r="A22" s="5" t="s">
        <v>70</v>
      </c>
      <c r="B22" s="5" t="s">
        <v>52</v>
      </c>
      <c r="C22" s="5" t="s">
        <v>38</v>
      </c>
      <c r="D22" s="6">
        <v>45593</v>
      </c>
      <c r="E22" s="6">
        <v>45606</v>
      </c>
      <c r="F22" s="5" t="s">
        <v>43</v>
      </c>
      <c r="G22" s="9">
        <v>0</v>
      </c>
      <c r="H22" s="7">
        <v>1</v>
      </c>
      <c r="I22" s="7">
        <v>50000</v>
      </c>
      <c r="J22" s="5" t="s">
        <v>71</v>
      </c>
    </row>
    <row r="23" spans="1:10" x14ac:dyDescent="0.3">
      <c r="A23" s="5" t="s">
        <v>72</v>
      </c>
      <c r="B23" s="5" t="s">
        <v>55</v>
      </c>
      <c r="C23" s="5" t="s">
        <v>12</v>
      </c>
      <c r="D23" s="6">
        <v>45607</v>
      </c>
      <c r="E23" s="6">
        <v>45620</v>
      </c>
      <c r="F23" s="5" t="s">
        <v>13</v>
      </c>
      <c r="G23" s="9">
        <v>0.2</v>
      </c>
      <c r="H23" s="7">
        <v>0</v>
      </c>
      <c r="I23" s="7">
        <v>80000</v>
      </c>
      <c r="J23" s="5" t="s">
        <v>73</v>
      </c>
    </row>
    <row r="24" spans="1:10" x14ac:dyDescent="0.3">
      <c r="A24" s="5" t="s">
        <v>74</v>
      </c>
      <c r="B24" s="5" t="s">
        <v>75</v>
      </c>
      <c r="C24" s="5" t="s">
        <v>12</v>
      </c>
      <c r="D24" s="6">
        <v>45536</v>
      </c>
      <c r="E24" s="6">
        <v>45566</v>
      </c>
      <c r="F24" s="5" t="s">
        <v>76</v>
      </c>
      <c r="G24" s="9">
        <v>0.15</v>
      </c>
      <c r="H24" s="7">
        <v>0</v>
      </c>
      <c r="I24" s="7">
        <v>65000</v>
      </c>
      <c r="J24" s="5" t="s">
        <v>77</v>
      </c>
    </row>
    <row r="25" spans="1:10" x14ac:dyDescent="0.3">
      <c r="A25" s="5" t="s">
        <v>78</v>
      </c>
      <c r="B25" s="5" t="s">
        <v>79</v>
      </c>
      <c r="C25" s="5" t="s">
        <v>17</v>
      </c>
      <c r="D25" s="6">
        <v>45439</v>
      </c>
      <c r="E25" s="6">
        <v>45452</v>
      </c>
      <c r="F25" s="5" t="s">
        <v>43</v>
      </c>
      <c r="G25" s="9">
        <v>0</v>
      </c>
      <c r="H25" s="7">
        <v>1</v>
      </c>
      <c r="I25" s="7">
        <v>40000</v>
      </c>
      <c r="J25" s="5" t="s">
        <v>80</v>
      </c>
    </row>
    <row r="26" spans="1:10" x14ac:dyDescent="0.3">
      <c r="A26" s="5" t="s">
        <v>81</v>
      </c>
      <c r="B26" s="5" t="s">
        <v>82</v>
      </c>
      <c r="C26" s="5" t="s">
        <v>22</v>
      </c>
      <c r="D26" s="6">
        <v>45537</v>
      </c>
      <c r="E26" s="6">
        <v>45550</v>
      </c>
      <c r="F26" s="5" t="s">
        <v>18</v>
      </c>
      <c r="G26" s="9">
        <v>0.2</v>
      </c>
      <c r="H26" s="7">
        <v>1</v>
      </c>
      <c r="I26" s="7">
        <v>85000</v>
      </c>
      <c r="J26" s="5" t="s">
        <v>34</v>
      </c>
    </row>
    <row r="27" spans="1:10" x14ac:dyDescent="0.3">
      <c r="A27" s="5" t="s">
        <v>83</v>
      </c>
      <c r="B27" s="5" t="s">
        <v>84</v>
      </c>
      <c r="C27" s="5" t="s">
        <v>38</v>
      </c>
      <c r="D27" s="6">
        <v>45607</v>
      </c>
      <c r="E27" s="6">
        <v>45620</v>
      </c>
      <c r="F27" s="5" t="s">
        <v>85</v>
      </c>
      <c r="G27" s="9">
        <v>0.15</v>
      </c>
      <c r="H27" s="7">
        <v>0</v>
      </c>
      <c r="I27" s="7">
        <v>90000</v>
      </c>
      <c r="J27" s="5" t="s">
        <v>86</v>
      </c>
    </row>
    <row r="28" spans="1:10" x14ac:dyDescent="0.3">
      <c r="A28" s="5" t="s">
        <v>87</v>
      </c>
      <c r="B28" s="5" t="s">
        <v>11</v>
      </c>
      <c r="C28" s="5" t="s">
        <v>22</v>
      </c>
      <c r="D28" s="6">
        <v>45474</v>
      </c>
      <c r="E28" s="6">
        <v>45505</v>
      </c>
      <c r="F28" s="5" t="s">
        <v>13</v>
      </c>
      <c r="G28" s="9">
        <v>0.2</v>
      </c>
      <c r="H28" s="7">
        <v>0</v>
      </c>
      <c r="I28" s="7">
        <v>80000</v>
      </c>
      <c r="J28" s="5" t="s">
        <v>88</v>
      </c>
    </row>
    <row r="29" spans="1:10" x14ac:dyDescent="0.3">
      <c r="A29" s="5" t="s">
        <v>89</v>
      </c>
      <c r="B29" s="5" t="s">
        <v>16</v>
      </c>
      <c r="C29" s="5" t="s">
        <v>17</v>
      </c>
      <c r="D29" s="6">
        <v>45627</v>
      </c>
      <c r="E29" s="6">
        <v>45657</v>
      </c>
      <c r="F29" s="5" t="s">
        <v>18</v>
      </c>
      <c r="G29" s="9">
        <v>0.25</v>
      </c>
      <c r="H29" s="7">
        <v>1</v>
      </c>
      <c r="I29" s="7">
        <v>93000</v>
      </c>
      <c r="J29" s="5" t="s">
        <v>90</v>
      </c>
    </row>
    <row r="30" spans="1:10" x14ac:dyDescent="0.3">
      <c r="A30" s="5" t="s">
        <v>91</v>
      </c>
      <c r="B30" s="5" t="s">
        <v>21</v>
      </c>
      <c r="C30" s="5" t="s">
        <v>30</v>
      </c>
      <c r="D30" s="6">
        <v>45404</v>
      </c>
      <c r="E30" s="6">
        <v>45417</v>
      </c>
      <c r="F30" s="5" t="s">
        <v>26</v>
      </c>
      <c r="G30" s="9">
        <v>0.33</v>
      </c>
      <c r="H30" s="7">
        <v>1</v>
      </c>
      <c r="I30" s="7">
        <v>110000</v>
      </c>
      <c r="J30" s="5" t="s">
        <v>92</v>
      </c>
    </row>
    <row r="31" spans="1:10" x14ac:dyDescent="0.3">
      <c r="A31" s="5" t="s">
        <v>93</v>
      </c>
      <c r="B31" s="5" t="s">
        <v>25</v>
      </c>
      <c r="C31" s="5" t="s">
        <v>22</v>
      </c>
      <c r="D31" s="6">
        <v>45432</v>
      </c>
      <c r="E31" s="6">
        <v>45445</v>
      </c>
      <c r="F31" s="5" t="s">
        <v>13</v>
      </c>
      <c r="G31" s="9">
        <v>0.2</v>
      </c>
      <c r="H31" s="7">
        <v>0</v>
      </c>
      <c r="I31" s="7">
        <v>75000</v>
      </c>
      <c r="J31" s="5" t="s">
        <v>94</v>
      </c>
    </row>
    <row r="32" spans="1:10" x14ac:dyDescent="0.3">
      <c r="A32" s="5" t="s">
        <v>95</v>
      </c>
      <c r="B32" s="5" t="s">
        <v>29</v>
      </c>
      <c r="C32" s="5" t="s">
        <v>38</v>
      </c>
      <c r="D32" s="6">
        <v>45460</v>
      </c>
      <c r="E32" s="6">
        <v>45473</v>
      </c>
      <c r="F32" s="5" t="s">
        <v>43</v>
      </c>
      <c r="G32" s="9">
        <v>0</v>
      </c>
      <c r="H32" s="7">
        <v>1</v>
      </c>
      <c r="I32" s="7">
        <v>50000</v>
      </c>
      <c r="J32" s="5" t="s">
        <v>96</v>
      </c>
    </row>
    <row r="33" spans="1:10" x14ac:dyDescent="0.3">
      <c r="A33" s="5" t="s">
        <v>97</v>
      </c>
      <c r="B33" s="5" t="s">
        <v>11</v>
      </c>
      <c r="C33" s="5" t="s">
        <v>17</v>
      </c>
      <c r="D33" s="6">
        <v>45481</v>
      </c>
      <c r="E33" s="6">
        <v>45494</v>
      </c>
      <c r="F33" s="5" t="s">
        <v>13</v>
      </c>
      <c r="G33" s="9">
        <v>0.25</v>
      </c>
      <c r="H33" s="7">
        <v>0</v>
      </c>
      <c r="I33" s="7">
        <v>88000</v>
      </c>
      <c r="J33" s="5" t="s">
        <v>98</v>
      </c>
    </row>
    <row r="34" spans="1:10" x14ac:dyDescent="0.3">
      <c r="A34" s="5" t="s">
        <v>99</v>
      </c>
      <c r="B34" s="5" t="s">
        <v>16</v>
      </c>
      <c r="C34" s="5" t="s">
        <v>22</v>
      </c>
      <c r="D34" s="6">
        <v>45509</v>
      </c>
      <c r="E34" s="6">
        <v>45522</v>
      </c>
      <c r="F34" s="5" t="s">
        <v>33</v>
      </c>
      <c r="G34" s="9">
        <v>0.3</v>
      </c>
      <c r="H34" s="7">
        <v>1</v>
      </c>
      <c r="I34" s="7">
        <v>96000</v>
      </c>
      <c r="J34" s="5" t="s">
        <v>34</v>
      </c>
    </row>
    <row r="35" spans="1:10" x14ac:dyDescent="0.3">
      <c r="A35" s="5" t="s">
        <v>100</v>
      </c>
      <c r="B35" s="5" t="s">
        <v>21</v>
      </c>
      <c r="C35" s="5" t="s">
        <v>12</v>
      </c>
      <c r="D35" s="6">
        <v>45572</v>
      </c>
      <c r="E35" s="6">
        <v>45585</v>
      </c>
      <c r="F35" s="5" t="s">
        <v>18</v>
      </c>
      <c r="G35" s="9">
        <v>0.2</v>
      </c>
      <c r="H35" s="7">
        <v>1</v>
      </c>
      <c r="I35" s="7">
        <v>84000</v>
      </c>
      <c r="J35" s="5" t="s">
        <v>101</v>
      </c>
    </row>
    <row r="36" spans="1:10" x14ac:dyDescent="0.3">
      <c r="A36" s="5" t="s">
        <v>102</v>
      </c>
      <c r="B36" s="5" t="s">
        <v>25</v>
      </c>
      <c r="C36" s="5" t="s">
        <v>17</v>
      </c>
      <c r="D36" s="6">
        <v>45579</v>
      </c>
      <c r="E36" s="6">
        <v>45592</v>
      </c>
      <c r="F36" s="5" t="s">
        <v>13</v>
      </c>
      <c r="G36" s="9">
        <v>0.15</v>
      </c>
      <c r="H36" s="7">
        <v>0</v>
      </c>
      <c r="I36" s="7">
        <v>70000</v>
      </c>
      <c r="J36" s="5" t="s">
        <v>103</v>
      </c>
    </row>
    <row r="37" spans="1:10" x14ac:dyDescent="0.3">
      <c r="A37" s="5" t="s">
        <v>104</v>
      </c>
      <c r="B37" s="5" t="s">
        <v>29</v>
      </c>
      <c r="C37" s="5" t="s">
        <v>22</v>
      </c>
      <c r="D37" s="6">
        <v>45621</v>
      </c>
      <c r="E37" s="6">
        <v>45634</v>
      </c>
      <c r="F37" s="5" t="s">
        <v>43</v>
      </c>
      <c r="G37" s="9">
        <v>0</v>
      </c>
      <c r="H37" s="7">
        <v>1</v>
      </c>
      <c r="I37" s="7">
        <v>40000</v>
      </c>
      <c r="J37" s="5" t="s">
        <v>105</v>
      </c>
    </row>
    <row r="38" spans="1:10" x14ac:dyDescent="0.3">
      <c r="A38" s="5" t="s">
        <v>106</v>
      </c>
      <c r="B38" s="5" t="s">
        <v>46</v>
      </c>
      <c r="C38" s="5" t="s">
        <v>12</v>
      </c>
      <c r="D38" s="6">
        <v>45376</v>
      </c>
      <c r="E38" s="6">
        <v>45389</v>
      </c>
      <c r="F38" s="5" t="s">
        <v>13</v>
      </c>
      <c r="G38" s="9">
        <v>0.2</v>
      </c>
      <c r="H38" s="7">
        <v>0</v>
      </c>
      <c r="I38" s="7">
        <v>78000</v>
      </c>
      <c r="J38" s="5" t="s">
        <v>107</v>
      </c>
    </row>
    <row r="39" spans="1:10" x14ac:dyDescent="0.3">
      <c r="A39" s="5" t="s">
        <v>108</v>
      </c>
      <c r="B39" s="5" t="s">
        <v>49</v>
      </c>
      <c r="C39" s="5" t="s">
        <v>17</v>
      </c>
      <c r="D39" s="6">
        <v>45390</v>
      </c>
      <c r="E39" s="6">
        <v>45403</v>
      </c>
      <c r="F39" s="5" t="s">
        <v>18</v>
      </c>
      <c r="G39" s="9">
        <v>0.25</v>
      </c>
      <c r="H39" s="7">
        <v>1</v>
      </c>
      <c r="I39" s="7">
        <v>90000</v>
      </c>
      <c r="J39" s="5" t="s">
        <v>109</v>
      </c>
    </row>
    <row r="40" spans="1:10" x14ac:dyDescent="0.3">
      <c r="A40" s="5" t="s">
        <v>110</v>
      </c>
      <c r="B40" s="5" t="s">
        <v>52</v>
      </c>
      <c r="C40" s="5" t="s">
        <v>22</v>
      </c>
      <c r="D40" s="6">
        <v>45411</v>
      </c>
      <c r="E40" s="6">
        <v>45424</v>
      </c>
      <c r="F40" s="5" t="s">
        <v>13</v>
      </c>
      <c r="G40" s="9">
        <v>0.3</v>
      </c>
      <c r="H40" s="7">
        <v>0</v>
      </c>
      <c r="I40" s="7">
        <v>88000</v>
      </c>
      <c r="J40" s="5" t="s">
        <v>111</v>
      </c>
    </row>
    <row r="41" spans="1:10" x14ac:dyDescent="0.3">
      <c r="A41" s="5" t="s">
        <v>112</v>
      </c>
      <c r="B41" s="5" t="s">
        <v>55</v>
      </c>
      <c r="C41" s="5" t="s">
        <v>38</v>
      </c>
      <c r="D41" s="6">
        <v>45432</v>
      </c>
      <c r="E41" s="6">
        <v>45445</v>
      </c>
      <c r="F41" s="5" t="s">
        <v>26</v>
      </c>
      <c r="G41" s="9">
        <v>0.33</v>
      </c>
      <c r="H41" s="7">
        <v>1</v>
      </c>
      <c r="I41" s="7">
        <v>112000</v>
      </c>
      <c r="J41" s="5" t="s">
        <v>113</v>
      </c>
    </row>
    <row r="42" spans="1:10" x14ac:dyDescent="0.3">
      <c r="A42" s="5" t="s">
        <v>114</v>
      </c>
      <c r="B42" s="5" t="s">
        <v>46</v>
      </c>
      <c r="C42" s="5" t="s">
        <v>17</v>
      </c>
      <c r="D42" s="6">
        <v>45453</v>
      </c>
      <c r="E42" s="6">
        <v>45466</v>
      </c>
      <c r="F42" s="5" t="s">
        <v>43</v>
      </c>
      <c r="G42" s="9">
        <v>0</v>
      </c>
      <c r="H42" s="7">
        <v>1</v>
      </c>
      <c r="I42" s="7">
        <v>45000</v>
      </c>
      <c r="J42" s="5" t="s">
        <v>115</v>
      </c>
    </row>
    <row r="43" spans="1:10" x14ac:dyDescent="0.3">
      <c r="A43" s="5" t="s">
        <v>116</v>
      </c>
      <c r="B43" s="5" t="s">
        <v>49</v>
      </c>
      <c r="C43" s="5" t="s">
        <v>22</v>
      </c>
      <c r="D43" s="6">
        <v>45481</v>
      </c>
      <c r="E43" s="6">
        <v>45494</v>
      </c>
      <c r="F43" s="5" t="s">
        <v>13</v>
      </c>
      <c r="G43" s="9">
        <v>0.2</v>
      </c>
      <c r="H43" s="7">
        <v>0</v>
      </c>
      <c r="I43" s="7">
        <v>82000</v>
      </c>
      <c r="J43" s="5" t="s">
        <v>60</v>
      </c>
    </row>
    <row r="44" spans="1:10" x14ac:dyDescent="0.3">
      <c r="A44" s="5" t="s">
        <v>117</v>
      </c>
      <c r="B44" s="5" t="s">
        <v>52</v>
      </c>
      <c r="C44" s="5" t="s">
        <v>12</v>
      </c>
      <c r="D44" s="6">
        <v>45509</v>
      </c>
      <c r="E44" s="6">
        <v>45522</v>
      </c>
      <c r="F44" s="5" t="s">
        <v>18</v>
      </c>
      <c r="G44" s="9">
        <v>0.25</v>
      </c>
      <c r="H44" s="7">
        <v>1</v>
      </c>
      <c r="I44" s="7">
        <v>91000</v>
      </c>
      <c r="J44" s="5" t="s">
        <v>118</v>
      </c>
    </row>
    <row r="45" spans="1:10" x14ac:dyDescent="0.3">
      <c r="A45" s="5" t="s">
        <v>119</v>
      </c>
      <c r="B45" s="5" t="s">
        <v>55</v>
      </c>
      <c r="C45" s="5" t="s">
        <v>30</v>
      </c>
      <c r="D45" s="6">
        <v>45530</v>
      </c>
      <c r="E45" s="6">
        <v>45543</v>
      </c>
      <c r="F45" s="5" t="s">
        <v>13</v>
      </c>
      <c r="G45" s="9">
        <v>0.2</v>
      </c>
      <c r="H45" s="7">
        <v>0</v>
      </c>
      <c r="I45" s="7">
        <v>79000</v>
      </c>
      <c r="J45" s="5" t="s">
        <v>67</v>
      </c>
    </row>
    <row r="46" spans="1:10" x14ac:dyDescent="0.3">
      <c r="A46" s="5" t="s">
        <v>120</v>
      </c>
      <c r="B46" s="5" t="s">
        <v>46</v>
      </c>
      <c r="C46" s="5" t="s">
        <v>22</v>
      </c>
      <c r="D46" s="6">
        <v>45565</v>
      </c>
      <c r="E46" s="6">
        <v>45578</v>
      </c>
      <c r="F46" s="5" t="s">
        <v>18</v>
      </c>
      <c r="G46" s="9">
        <v>0.2</v>
      </c>
      <c r="H46" s="7">
        <v>1</v>
      </c>
      <c r="I46" s="7">
        <v>89000</v>
      </c>
      <c r="J46" s="5" t="s">
        <v>36</v>
      </c>
    </row>
    <row r="47" spans="1:10" x14ac:dyDescent="0.3">
      <c r="A47" s="5" t="s">
        <v>121</v>
      </c>
      <c r="B47" s="5" t="s">
        <v>49</v>
      </c>
      <c r="C47" s="5" t="s">
        <v>38</v>
      </c>
      <c r="D47" s="6">
        <v>45586</v>
      </c>
      <c r="E47" s="6">
        <v>45599</v>
      </c>
      <c r="F47" s="5" t="s">
        <v>43</v>
      </c>
      <c r="G47" s="9">
        <v>0</v>
      </c>
      <c r="H47" s="7">
        <v>1</v>
      </c>
      <c r="I47" s="7">
        <v>48000</v>
      </c>
      <c r="J47" s="5" t="s">
        <v>122</v>
      </c>
    </row>
    <row r="48" spans="1:10" x14ac:dyDescent="0.3">
      <c r="A48" s="5" t="s">
        <v>123</v>
      </c>
      <c r="B48" s="5" t="s">
        <v>52</v>
      </c>
      <c r="C48" s="5" t="s">
        <v>17</v>
      </c>
      <c r="D48" s="6">
        <v>45607</v>
      </c>
      <c r="E48" s="6">
        <v>45620</v>
      </c>
      <c r="F48" s="5" t="s">
        <v>13</v>
      </c>
      <c r="G48" s="9">
        <v>0.2</v>
      </c>
      <c r="H48" s="7">
        <v>0</v>
      </c>
      <c r="I48" s="7">
        <v>83000</v>
      </c>
      <c r="J48" s="5" t="s">
        <v>124</v>
      </c>
    </row>
    <row r="49" spans="1:10" x14ac:dyDescent="0.3">
      <c r="A49" s="5" t="s">
        <v>125</v>
      </c>
      <c r="B49" s="5" t="s">
        <v>55</v>
      </c>
      <c r="C49" s="5" t="s">
        <v>12</v>
      </c>
      <c r="D49" s="6">
        <v>45621</v>
      </c>
      <c r="E49" s="6">
        <v>45634</v>
      </c>
      <c r="F49" s="5" t="s">
        <v>18</v>
      </c>
      <c r="G49" s="9">
        <v>0.25</v>
      </c>
      <c r="H49" s="7">
        <v>1</v>
      </c>
      <c r="I49" s="7">
        <v>96000</v>
      </c>
      <c r="J49" s="5" t="s">
        <v>126</v>
      </c>
    </row>
    <row r="50" spans="1:10" x14ac:dyDescent="0.3">
      <c r="A50" s="5" t="s">
        <v>127</v>
      </c>
      <c r="B50" s="5" t="s">
        <v>75</v>
      </c>
      <c r="C50" s="5" t="s">
        <v>17</v>
      </c>
      <c r="D50" s="6">
        <v>45597</v>
      </c>
      <c r="E50" s="6">
        <v>45627</v>
      </c>
      <c r="F50" s="5" t="s">
        <v>43</v>
      </c>
      <c r="G50" s="9">
        <v>0</v>
      </c>
      <c r="H50" s="7">
        <v>1</v>
      </c>
      <c r="I50" s="7">
        <v>40000</v>
      </c>
      <c r="J50" s="5" t="s">
        <v>128</v>
      </c>
    </row>
    <row r="51" spans="1:10" x14ac:dyDescent="0.3">
      <c r="A51" s="5" t="s">
        <v>129</v>
      </c>
      <c r="B51" s="5" t="s">
        <v>79</v>
      </c>
      <c r="C51" s="5" t="s">
        <v>22</v>
      </c>
      <c r="D51" s="6">
        <v>45425</v>
      </c>
      <c r="E51" s="6">
        <v>45438</v>
      </c>
      <c r="F51" s="5" t="s">
        <v>13</v>
      </c>
      <c r="G51" s="9">
        <v>0.1</v>
      </c>
      <c r="H51" s="7">
        <v>0</v>
      </c>
      <c r="I51" s="7">
        <v>60000</v>
      </c>
      <c r="J51" s="5" t="s">
        <v>130</v>
      </c>
    </row>
    <row r="52" spans="1:10" x14ac:dyDescent="0.3">
      <c r="A52" s="5" t="s">
        <v>131</v>
      </c>
      <c r="B52" s="5" t="s">
        <v>82</v>
      </c>
      <c r="C52" s="5" t="s">
        <v>38</v>
      </c>
      <c r="D52" s="6">
        <v>45544</v>
      </c>
      <c r="E52" s="6">
        <v>45557</v>
      </c>
      <c r="F52" s="5" t="s">
        <v>18</v>
      </c>
      <c r="G52" s="9">
        <v>0.2</v>
      </c>
      <c r="H52" s="7">
        <v>1</v>
      </c>
      <c r="I52" s="7">
        <v>85000</v>
      </c>
      <c r="J52" s="5" t="s">
        <v>132</v>
      </c>
    </row>
    <row r="53" spans="1:10" x14ac:dyDescent="0.3">
      <c r="A53" s="5" t="s">
        <v>133</v>
      </c>
      <c r="B53" s="5" t="s">
        <v>84</v>
      </c>
      <c r="C53" s="5" t="s">
        <v>12</v>
      </c>
      <c r="D53" s="6">
        <v>45593</v>
      </c>
      <c r="E53" s="6">
        <v>45606</v>
      </c>
      <c r="F53" s="5" t="s">
        <v>85</v>
      </c>
      <c r="G53" s="9">
        <v>0.15</v>
      </c>
      <c r="H53" s="7">
        <v>0</v>
      </c>
      <c r="I53" s="7">
        <v>88000</v>
      </c>
      <c r="J53" s="5" t="s">
        <v>134</v>
      </c>
    </row>
    <row r="54" spans="1:10" x14ac:dyDescent="0.3">
      <c r="A54" s="5" t="s">
        <v>135</v>
      </c>
      <c r="B54" s="5" t="s">
        <v>11</v>
      </c>
      <c r="C54" s="5" t="s">
        <v>17</v>
      </c>
      <c r="D54" s="6">
        <v>45505</v>
      </c>
      <c r="E54" s="6">
        <v>45536</v>
      </c>
      <c r="F54" s="5" t="s">
        <v>13</v>
      </c>
      <c r="G54" s="9">
        <v>0.2</v>
      </c>
      <c r="H54" s="7">
        <v>0</v>
      </c>
      <c r="I54" s="7">
        <v>80000</v>
      </c>
      <c r="J54" s="5" t="s">
        <v>136</v>
      </c>
    </row>
    <row r="55" spans="1:10" x14ac:dyDescent="0.3">
      <c r="A55" s="5" t="s">
        <v>137</v>
      </c>
      <c r="B55" s="5" t="s">
        <v>16</v>
      </c>
      <c r="C55" s="5" t="s">
        <v>22</v>
      </c>
      <c r="D55" s="6">
        <v>45566</v>
      </c>
      <c r="E55" s="6">
        <v>45597</v>
      </c>
      <c r="F55" s="5" t="s">
        <v>33</v>
      </c>
      <c r="G55" s="9">
        <v>0.25</v>
      </c>
      <c r="H55" s="7">
        <v>1</v>
      </c>
      <c r="I55" s="7">
        <v>90000</v>
      </c>
      <c r="J55" s="5" t="s">
        <v>138</v>
      </c>
    </row>
    <row r="56" spans="1:10" x14ac:dyDescent="0.3">
      <c r="A56" s="5" t="s">
        <v>139</v>
      </c>
      <c r="B56" s="5" t="s">
        <v>21</v>
      </c>
      <c r="C56" s="5" t="s">
        <v>12</v>
      </c>
      <c r="D56" s="6">
        <v>45383</v>
      </c>
      <c r="E56" s="6">
        <v>45396</v>
      </c>
      <c r="F56" s="5" t="s">
        <v>26</v>
      </c>
      <c r="G56" s="9">
        <v>0.33</v>
      </c>
      <c r="H56" s="7">
        <v>1</v>
      </c>
      <c r="I56" s="7">
        <v>115000</v>
      </c>
      <c r="J56" s="5" t="s">
        <v>140</v>
      </c>
    </row>
    <row r="57" spans="1:10" x14ac:dyDescent="0.3">
      <c r="A57" s="5" t="s">
        <v>141</v>
      </c>
      <c r="B57" s="5" t="s">
        <v>25</v>
      </c>
      <c r="C57" s="5" t="s">
        <v>17</v>
      </c>
      <c r="D57" s="6">
        <v>45439</v>
      </c>
      <c r="E57" s="6">
        <v>45452</v>
      </c>
      <c r="F57" s="5" t="s">
        <v>13</v>
      </c>
      <c r="G57" s="9">
        <v>0.2</v>
      </c>
      <c r="H57" s="7">
        <v>0</v>
      </c>
      <c r="I57" s="7">
        <v>75000</v>
      </c>
      <c r="J57" s="5" t="s">
        <v>94</v>
      </c>
    </row>
    <row r="58" spans="1:10" x14ac:dyDescent="0.3">
      <c r="A58" s="5" t="s">
        <v>142</v>
      </c>
      <c r="B58" s="5" t="s">
        <v>29</v>
      </c>
      <c r="C58" s="5" t="s">
        <v>22</v>
      </c>
      <c r="D58" s="6">
        <v>45495</v>
      </c>
      <c r="E58" s="6">
        <v>45508</v>
      </c>
      <c r="F58" s="5" t="s">
        <v>43</v>
      </c>
      <c r="G58" s="9">
        <v>0</v>
      </c>
      <c r="H58" s="7">
        <v>1</v>
      </c>
      <c r="I58" s="7">
        <v>40000</v>
      </c>
      <c r="J58" s="5" t="s">
        <v>115</v>
      </c>
    </row>
    <row r="59" spans="1:10" x14ac:dyDescent="0.3">
      <c r="A59" s="5" t="s">
        <v>143</v>
      </c>
      <c r="B59" s="5" t="s">
        <v>46</v>
      </c>
      <c r="C59" s="5" t="s">
        <v>17</v>
      </c>
      <c r="D59" s="6">
        <v>45523</v>
      </c>
      <c r="E59" s="6">
        <v>45536</v>
      </c>
      <c r="F59" s="5" t="s">
        <v>13</v>
      </c>
      <c r="G59" s="9">
        <v>0.25</v>
      </c>
      <c r="H59" s="7">
        <v>0</v>
      </c>
      <c r="I59" s="7">
        <v>85000</v>
      </c>
      <c r="J59" s="5" t="s">
        <v>144</v>
      </c>
    </row>
    <row r="60" spans="1:10" x14ac:dyDescent="0.3">
      <c r="A60" s="5" t="s">
        <v>145</v>
      </c>
      <c r="B60" s="5" t="s">
        <v>49</v>
      </c>
      <c r="C60" s="5" t="s">
        <v>22</v>
      </c>
      <c r="D60" s="6">
        <v>45537</v>
      </c>
      <c r="E60" s="6">
        <v>45550</v>
      </c>
      <c r="F60" s="5" t="s">
        <v>18</v>
      </c>
      <c r="G60" s="9">
        <v>0.25</v>
      </c>
      <c r="H60" s="7">
        <v>1</v>
      </c>
      <c r="I60" s="7">
        <v>90000</v>
      </c>
      <c r="J60" s="5" t="s">
        <v>34</v>
      </c>
    </row>
    <row r="61" spans="1:10" x14ac:dyDescent="0.3">
      <c r="A61" s="5" t="s">
        <v>146</v>
      </c>
      <c r="B61" s="5" t="s">
        <v>52</v>
      </c>
      <c r="C61" s="5" t="s">
        <v>12</v>
      </c>
      <c r="D61" s="6">
        <v>45551</v>
      </c>
      <c r="E61" s="6">
        <v>45564</v>
      </c>
      <c r="F61" s="5" t="s">
        <v>13</v>
      </c>
      <c r="G61" s="9">
        <v>0.2</v>
      </c>
      <c r="H61" s="7">
        <v>0</v>
      </c>
      <c r="I61" s="7">
        <v>80000</v>
      </c>
      <c r="J61" s="5" t="s">
        <v>147</v>
      </c>
    </row>
    <row r="62" spans="1:10" x14ac:dyDescent="0.3">
      <c r="A62" s="5" t="s">
        <v>148</v>
      </c>
      <c r="B62" s="5" t="s">
        <v>55</v>
      </c>
      <c r="C62" s="5" t="s">
        <v>17</v>
      </c>
      <c r="D62" s="6">
        <v>45579</v>
      </c>
      <c r="E62" s="6">
        <v>45592</v>
      </c>
      <c r="F62" s="5" t="s">
        <v>18</v>
      </c>
      <c r="G62" s="9">
        <v>0.2</v>
      </c>
      <c r="H62" s="7">
        <v>1</v>
      </c>
      <c r="I62" s="7">
        <v>95000</v>
      </c>
      <c r="J62" s="5" t="s">
        <v>149</v>
      </c>
    </row>
    <row r="63" spans="1:10" x14ac:dyDescent="0.3">
      <c r="A63" s="5" t="s">
        <v>150</v>
      </c>
      <c r="B63" s="5" t="s">
        <v>75</v>
      </c>
      <c r="C63" s="5" t="s">
        <v>22</v>
      </c>
      <c r="D63" s="6">
        <v>45600</v>
      </c>
      <c r="E63" s="6">
        <v>45613</v>
      </c>
      <c r="F63" s="5" t="s">
        <v>43</v>
      </c>
      <c r="G63" s="9">
        <v>0</v>
      </c>
      <c r="H63" s="7">
        <v>1</v>
      </c>
      <c r="I63" s="7">
        <v>50000</v>
      </c>
      <c r="J63" s="5" t="s">
        <v>151</v>
      </c>
    </row>
    <row r="64" spans="1:10" x14ac:dyDescent="0.3">
      <c r="A64" s="5" t="s">
        <v>152</v>
      </c>
      <c r="B64" s="5" t="s">
        <v>79</v>
      </c>
      <c r="C64" s="5" t="s">
        <v>38</v>
      </c>
      <c r="D64" s="6">
        <v>45614</v>
      </c>
      <c r="E64" s="6">
        <v>45627</v>
      </c>
      <c r="F64" s="5" t="s">
        <v>13</v>
      </c>
      <c r="G64" s="9">
        <v>0.1</v>
      </c>
      <c r="H64" s="7">
        <v>0</v>
      </c>
      <c r="I64" s="7">
        <v>60000</v>
      </c>
      <c r="J64" s="5" t="s">
        <v>153</v>
      </c>
    </row>
    <row r="65" spans="1:10" x14ac:dyDescent="0.3">
      <c r="A65" s="5" t="s">
        <v>154</v>
      </c>
      <c r="B65" s="5" t="s">
        <v>82</v>
      </c>
      <c r="C65" s="5" t="s">
        <v>12</v>
      </c>
      <c r="D65" s="6">
        <v>45614</v>
      </c>
      <c r="E65" s="6">
        <v>45627</v>
      </c>
      <c r="F65" s="5" t="s">
        <v>18</v>
      </c>
      <c r="G65" s="9">
        <v>0.2</v>
      </c>
      <c r="H65" s="7">
        <v>1</v>
      </c>
      <c r="I65" s="7">
        <v>85000</v>
      </c>
      <c r="J65" s="5" t="s">
        <v>155</v>
      </c>
    </row>
    <row r="66" spans="1:10" x14ac:dyDescent="0.3">
      <c r="A66" s="5" t="s">
        <v>156</v>
      </c>
      <c r="B66" s="5" t="s">
        <v>84</v>
      </c>
      <c r="C66" s="5" t="s">
        <v>17</v>
      </c>
      <c r="D66" s="6">
        <v>45635</v>
      </c>
      <c r="E66" s="6">
        <v>45648</v>
      </c>
      <c r="F66" s="5" t="s">
        <v>85</v>
      </c>
      <c r="G66" s="9">
        <v>0.15</v>
      </c>
      <c r="H66" s="7">
        <v>0</v>
      </c>
      <c r="I66" s="7">
        <v>90000</v>
      </c>
      <c r="J66" s="5" t="s">
        <v>157</v>
      </c>
    </row>
    <row r="67" spans="1:10" x14ac:dyDescent="0.3">
      <c r="A67" s="5" t="s">
        <v>158</v>
      </c>
      <c r="B67" s="5" t="s">
        <v>11</v>
      </c>
      <c r="C67" s="5" t="s">
        <v>12</v>
      </c>
      <c r="D67" s="6">
        <v>45323</v>
      </c>
      <c r="E67" s="6">
        <v>45352</v>
      </c>
      <c r="F67" s="5" t="s">
        <v>13</v>
      </c>
      <c r="G67" s="9">
        <v>0.15</v>
      </c>
      <c r="H67" s="7">
        <v>0</v>
      </c>
      <c r="I67" s="7">
        <v>85000</v>
      </c>
      <c r="J67" s="5" t="s">
        <v>159</v>
      </c>
    </row>
    <row r="68" spans="1:10" x14ac:dyDescent="0.3">
      <c r="A68" s="5" t="s">
        <v>160</v>
      </c>
      <c r="B68" s="5" t="s">
        <v>16</v>
      </c>
      <c r="C68" s="5" t="s">
        <v>17</v>
      </c>
      <c r="D68" s="6">
        <v>45536</v>
      </c>
      <c r="E68" s="6">
        <v>45566</v>
      </c>
      <c r="F68" s="5" t="s">
        <v>18</v>
      </c>
      <c r="G68" s="9">
        <v>0.2</v>
      </c>
      <c r="H68" s="7">
        <v>1</v>
      </c>
      <c r="I68" s="7">
        <v>87000</v>
      </c>
      <c r="J68" s="5" t="s">
        <v>161</v>
      </c>
    </row>
    <row r="69" spans="1:10" x14ac:dyDescent="0.3">
      <c r="A69" s="5" t="s">
        <v>162</v>
      </c>
      <c r="B69" s="5" t="s">
        <v>21</v>
      </c>
      <c r="C69" s="5" t="s">
        <v>22</v>
      </c>
      <c r="D69" s="6">
        <v>45404</v>
      </c>
      <c r="E69" s="6">
        <v>45417</v>
      </c>
      <c r="F69" s="5" t="s">
        <v>13</v>
      </c>
      <c r="G69" s="9">
        <v>0.2</v>
      </c>
      <c r="H69" s="7">
        <v>0</v>
      </c>
      <c r="I69" s="7">
        <v>78000</v>
      </c>
      <c r="J69" s="5" t="s">
        <v>163</v>
      </c>
    </row>
    <row r="70" spans="1:10" x14ac:dyDescent="0.3">
      <c r="A70" s="5" t="s">
        <v>164</v>
      </c>
      <c r="B70" s="5" t="s">
        <v>25</v>
      </c>
      <c r="C70" s="5" t="s">
        <v>12</v>
      </c>
      <c r="D70" s="6">
        <v>45460</v>
      </c>
      <c r="E70" s="6">
        <v>45473</v>
      </c>
      <c r="F70" s="5" t="s">
        <v>26</v>
      </c>
      <c r="G70" s="9">
        <v>0.33</v>
      </c>
      <c r="H70" s="7">
        <v>1</v>
      </c>
      <c r="I70" s="7">
        <v>110000</v>
      </c>
      <c r="J70" s="5" t="s">
        <v>165</v>
      </c>
    </row>
    <row r="71" spans="1:10" x14ac:dyDescent="0.3">
      <c r="A71" s="5" t="s">
        <v>166</v>
      </c>
      <c r="B71" s="5" t="s">
        <v>29</v>
      </c>
      <c r="C71" s="5" t="s">
        <v>17</v>
      </c>
      <c r="D71" s="6">
        <v>45481</v>
      </c>
      <c r="E71" s="6">
        <v>45494</v>
      </c>
      <c r="F71" s="5" t="s">
        <v>13</v>
      </c>
      <c r="G71" s="9">
        <v>0.2</v>
      </c>
      <c r="H71" s="7">
        <v>0</v>
      </c>
      <c r="I71" s="7">
        <v>82000</v>
      </c>
      <c r="J71" s="5" t="s">
        <v>53</v>
      </c>
    </row>
    <row r="72" spans="1:10" x14ac:dyDescent="0.3">
      <c r="A72" s="5" t="s">
        <v>167</v>
      </c>
      <c r="B72" s="5" t="s">
        <v>46</v>
      </c>
      <c r="C72" s="5" t="s">
        <v>22</v>
      </c>
      <c r="D72" s="6">
        <v>45516</v>
      </c>
      <c r="E72" s="6">
        <v>45529</v>
      </c>
      <c r="F72" s="5" t="s">
        <v>13</v>
      </c>
      <c r="G72" s="9">
        <v>0.25</v>
      </c>
      <c r="H72" s="7">
        <v>0</v>
      </c>
      <c r="I72" s="7">
        <v>88000</v>
      </c>
      <c r="J72" s="5" t="s">
        <v>168</v>
      </c>
    </row>
    <row r="73" spans="1:10" x14ac:dyDescent="0.3">
      <c r="A73" s="5" t="s">
        <v>169</v>
      </c>
      <c r="B73" s="5" t="s">
        <v>49</v>
      </c>
      <c r="C73" s="5" t="s">
        <v>17</v>
      </c>
      <c r="D73" s="6">
        <v>45558</v>
      </c>
      <c r="E73" s="6">
        <v>45571</v>
      </c>
      <c r="F73" s="5" t="s">
        <v>43</v>
      </c>
      <c r="G73" s="9">
        <v>0</v>
      </c>
      <c r="H73" s="7">
        <v>1</v>
      </c>
      <c r="I73" s="7">
        <v>42000</v>
      </c>
      <c r="J73" s="5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2025-10-24T12:17:44Z</dcterms:created>
  <dcterms:modified xsi:type="dcterms:W3CDTF">2025-11-05T13:18:35Z</dcterms:modified>
</cp:coreProperties>
</file>