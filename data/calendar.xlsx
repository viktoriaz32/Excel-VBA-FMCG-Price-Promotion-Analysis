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tko\Desktop\PORTFOLIO\Excel_VBA_Price_Promotion_Analysis\data\"/>
    </mc:Choice>
  </mc:AlternateContent>
  <xr:revisionPtr revIDLastSave="0" documentId="13_ncr:1_{D201BE40-7DA5-421D-A200-56D00EC2AE2A}" xr6:coauthVersionLast="47" xr6:coauthVersionMax="47" xr10:uidLastSave="{00000000-0000-0000-0000-000000000000}"/>
  <bookViews>
    <workbookView xWindow="-108" yWindow="-108" windowWidth="23256" windowHeight="12456" xr2:uid="{B0E63D03-A1A9-47AF-90E4-B0C8378893AF}"/>
  </bookViews>
  <sheets>
    <sheet name="Calendar" sheetId="2" r:id="rId1"/>
  </sheets>
  <definedNames>
    <definedName name="Calendar_YearWeek">'Calendar'!$A$2:$A$53</definedName>
    <definedName name="mdl_AllToken">#REF!</definedName>
    <definedName name="mdl_EndWeek">#REF!</definedName>
    <definedName name="mdl_PromoFilter">#REF!</definedName>
    <definedName name="mdl_PromoList">#REF!</definedName>
    <definedName name="mdl_SKU">#REF!</definedName>
    <definedName name="mdl_SKUList">#REF!</definedName>
    <definedName name="mdl_StartWeek">#REF!</definedName>
    <definedName name="mdl_Store">#REF!</definedName>
    <definedName name="mdl_StoreList">#REF!</definedName>
    <definedName name="mdl_WeeksList">#REF!</definedName>
    <definedName name="Model_WeekCount">MAX(1, MATCH(mdl_EndWeek, mdl_WeeksList, 0) - MATCH(mdl_StartWeek, mdl_WeeksList, 0) + 1)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3" i="2" l="1"/>
  <c r="H53" i="2" s="1"/>
  <c r="H52" i="2"/>
  <c r="A52" i="2"/>
  <c r="C52" i="2" s="1"/>
  <c r="C51" i="2"/>
  <c r="E51" i="2" s="1"/>
  <c r="A51" i="2"/>
  <c r="H51" i="2" s="1"/>
  <c r="A50" i="2"/>
  <c r="H50" i="2" s="1"/>
  <c r="K49" i="2"/>
  <c r="J49" i="2"/>
  <c r="I49" i="2"/>
  <c r="H49" i="2"/>
  <c r="C49" i="2"/>
  <c r="G49" i="2" s="1"/>
  <c r="A49" i="2"/>
  <c r="H48" i="2"/>
  <c r="D48" i="2"/>
  <c r="C48" i="2"/>
  <c r="B48" i="2" s="1"/>
  <c r="A48" i="2"/>
  <c r="A47" i="2"/>
  <c r="H47" i="2" s="1"/>
  <c r="A46" i="2"/>
  <c r="H46" i="2" s="1"/>
  <c r="H45" i="2"/>
  <c r="A45" i="2"/>
  <c r="C45" i="2" s="1"/>
  <c r="A44" i="2"/>
  <c r="H44" i="2" s="1"/>
  <c r="K43" i="2"/>
  <c r="J43" i="2"/>
  <c r="C43" i="2"/>
  <c r="I43" i="2" s="1"/>
  <c r="A43" i="2"/>
  <c r="H43" i="2" s="1"/>
  <c r="A42" i="2"/>
  <c r="C42" i="2" s="1"/>
  <c r="A41" i="2"/>
  <c r="H41" i="2" s="1"/>
  <c r="K40" i="2"/>
  <c r="H40" i="2"/>
  <c r="F40" i="2"/>
  <c r="C40" i="2"/>
  <c r="J40" i="2" s="1"/>
  <c r="A40" i="2"/>
  <c r="H39" i="2"/>
  <c r="A39" i="2"/>
  <c r="C39" i="2" s="1"/>
  <c r="A38" i="2"/>
  <c r="H38" i="2" s="1"/>
  <c r="H37" i="2"/>
  <c r="G37" i="2"/>
  <c r="E37" i="2"/>
  <c r="D37" i="2"/>
  <c r="C37" i="2"/>
  <c r="K37" i="2" s="1"/>
  <c r="A37" i="2"/>
  <c r="K36" i="2"/>
  <c r="J36" i="2"/>
  <c r="I36" i="2"/>
  <c r="H36" i="2"/>
  <c r="G36" i="2"/>
  <c r="C36" i="2"/>
  <c r="F36" i="2" s="1"/>
  <c r="B36" i="2"/>
  <c r="A36" i="2"/>
  <c r="C35" i="2"/>
  <c r="K35" i="2" s="1"/>
  <c r="B35" i="2"/>
  <c r="A35" i="2"/>
  <c r="H35" i="2" s="1"/>
  <c r="H34" i="2"/>
  <c r="A34" i="2"/>
  <c r="C34" i="2" s="1"/>
  <c r="H33" i="2"/>
  <c r="A33" i="2"/>
  <c r="C33" i="2" s="1"/>
  <c r="H32" i="2"/>
  <c r="C32" i="2"/>
  <c r="B32" i="2" s="1"/>
  <c r="A32" i="2"/>
  <c r="A31" i="2"/>
  <c r="H31" i="2" s="1"/>
  <c r="A30" i="2"/>
  <c r="H30" i="2" s="1"/>
  <c r="H29" i="2"/>
  <c r="A29" i="2"/>
  <c r="C29" i="2" s="1"/>
  <c r="A28" i="2"/>
  <c r="H28" i="2" s="1"/>
  <c r="K27" i="2"/>
  <c r="J27" i="2"/>
  <c r="C27" i="2"/>
  <c r="I27" i="2" s="1"/>
  <c r="A27" i="2"/>
  <c r="H27" i="2" s="1"/>
  <c r="H26" i="2"/>
  <c r="A26" i="2"/>
  <c r="C26" i="2" s="1"/>
  <c r="A25" i="2"/>
  <c r="C25" i="2" s="1"/>
  <c r="K24" i="2"/>
  <c r="H24" i="2"/>
  <c r="D24" i="2"/>
  <c r="C24" i="2"/>
  <c r="J24" i="2" s="1"/>
  <c r="A24" i="2"/>
  <c r="H23" i="2"/>
  <c r="A23" i="2"/>
  <c r="C23" i="2" s="1"/>
  <c r="A22" i="2"/>
  <c r="H22" i="2" s="1"/>
  <c r="H21" i="2"/>
  <c r="G21" i="2"/>
  <c r="E21" i="2"/>
  <c r="D21" i="2"/>
  <c r="C21" i="2"/>
  <c r="K21" i="2" s="1"/>
  <c r="A21" i="2"/>
  <c r="K20" i="2"/>
  <c r="J20" i="2"/>
  <c r="I20" i="2"/>
  <c r="H20" i="2"/>
  <c r="G20" i="2"/>
  <c r="C20" i="2"/>
  <c r="F20" i="2" s="1"/>
  <c r="B20" i="2"/>
  <c r="A20" i="2"/>
  <c r="C19" i="2"/>
  <c r="E19" i="2" s="1"/>
  <c r="B19" i="2"/>
  <c r="A19" i="2"/>
  <c r="H19" i="2" s="1"/>
  <c r="A18" i="2"/>
  <c r="H18" i="2" s="1"/>
  <c r="H17" i="2"/>
  <c r="A17" i="2"/>
  <c r="C17" i="2" s="1"/>
  <c r="H16" i="2"/>
  <c r="C16" i="2"/>
  <c r="B16" i="2" s="1"/>
  <c r="A16" i="2"/>
  <c r="A15" i="2"/>
  <c r="H15" i="2" s="1"/>
  <c r="A14" i="2"/>
  <c r="H14" i="2" s="1"/>
  <c r="H13" i="2"/>
  <c r="A13" i="2"/>
  <c r="C13" i="2" s="1"/>
  <c r="A12" i="2"/>
  <c r="H12" i="2" s="1"/>
  <c r="K11" i="2"/>
  <c r="J11" i="2"/>
  <c r="C11" i="2"/>
  <c r="I11" i="2" s="1"/>
  <c r="A11" i="2"/>
  <c r="H11" i="2" s="1"/>
  <c r="H10" i="2"/>
  <c r="A10" i="2"/>
  <c r="C10" i="2" s="1"/>
  <c r="A9" i="2"/>
  <c r="C9" i="2" s="1"/>
  <c r="K8" i="2"/>
  <c r="H8" i="2"/>
  <c r="C8" i="2"/>
  <c r="J8" i="2" s="1"/>
  <c r="A8" i="2"/>
  <c r="H7" i="2"/>
  <c r="A7" i="2"/>
  <c r="C7" i="2" s="1"/>
  <c r="A6" i="2"/>
  <c r="H6" i="2" s="1"/>
  <c r="H5" i="2"/>
  <c r="E5" i="2"/>
  <c r="D5" i="2"/>
  <c r="C5" i="2"/>
  <c r="K5" i="2" s="1"/>
  <c r="A5" i="2"/>
  <c r="K4" i="2"/>
  <c r="J4" i="2"/>
  <c r="I4" i="2"/>
  <c r="H4" i="2"/>
  <c r="G4" i="2"/>
  <c r="C4" i="2"/>
  <c r="F4" i="2" s="1"/>
  <c r="B4" i="2"/>
  <c r="A4" i="2"/>
  <c r="C3" i="2"/>
  <c r="K3" i="2" s="1"/>
  <c r="B3" i="2"/>
  <c r="A3" i="2"/>
  <c r="H3" i="2" s="1"/>
  <c r="A2" i="2"/>
  <c r="H2" i="2" s="1"/>
  <c r="G33" i="2" l="1"/>
  <c r="F33" i="2"/>
  <c r="E33" i="2"/>
  <c r="K33" i="2"/>
  <c r="D33" i="2"/>
  <c r="B33" i="2"/>
  <c r="I33" i="2"/>
  <c r="J33" i="2"/>
  <c r="D42" i="2"/>
  <c r="B42" i="2"/>
  <c r="G42" i="2"/>
  <c r="E42" i="2"/>
  <c r="F42" i="2"/>
  <c r="K42" i="2"/>
  <c r="J42" i="2"/>
  <c r="I42" i="2"/>
  <c r="K25" i="2"/>
  <c r="B25" i="2"/>
  <c r="I25" i="2"/>
  <c r="J25" i="2"/>
  <c r="G25" i="2"/>
  <c r="F25" i="2"/>
  <c r="E25" i="2"/>
  <c r="D25" i="2"/>
  <c r="B29" i="2"/>
  <c r="G29" i="2"/>
  <c r="D29" i="2"/>
  <c r="K29" i="2"/>
  <c r="J29" i="2"/>
  <c r="E29" i="2"/>
  <c r="I29" i="2"/>
  <c r="F29" i="2"/>
  <c r="K34" i="2"/>
  <c r="J34" i="2"/>
  <c r="I34" i="2"/>
  <c r="G34" i="2"/>
  <c r="F34" i="2"/>
  <c r="E34" i="2"/>
  <c r="D34" i="2"/>
  <c r="B34" i="2"/>
  <c r="B13" i="2"/>
  <c r="G13" i="2"/>
  <c r="F13" i="2"/>
  <c r="D13" i="2"/>
  <c r="K13" i="2"/>
  <c r="J13" i="2"/>
  <c r="I13" i="2"/>
  <c r="E13" i="2"/>
  <c r="E7" i="2"/>
  <c r="I7" i="2"/>
  <c r="D7" i="2"/>
  <c r="B7" i="2"/>
  <c r="G7" i="2"/>
  <c r="F7" i="2"/>
  <c r="K7" i="2"/>
  <c r="J7" i="2"/>
  <c r="D26" i="2"/>
  <c r="B26" i="2"/>
  <c r="G26" i="2"/>
  <c r="K26" i="2"/>
  <c r="F26" i="2"/>
  <c r="E26" i="2"/>
  <c r="J26" i="2"/>
  <c r="I26" i="2"/>
  <c r="B45" i="2"/>
  <c r="K45" i="2"/>
  <c r="G45" i="2"/>
  <c r="J45" i="2"/>
  <c r="I45" i="2"/>
  <c r="E45" i="2"/>
  <c r="F45" i="2"/>
  <c r="D45" i="2"/>
  <c r="G17" i="2"/>
  <c r="E17" i="2"/>
  <c r="D17" i="2"/>
  <c r="F17" i="2"/>
  <c r="K17" i="2"/>
  <c r="B17" i="2"/>
  <c r="J17" i="2"/>
  <c r="I17" i="2"/>
  <c r="F52" i="2"/>
  <c r="E52" i="2"/>
  <c r="D52" i="2"/>
  <c r="B52" i="2"/>
  <c r="J52" i="2"/>
  <c r="K52" i="2"/>
  <c r="I52" i="2"/>
  <c r="G52" i="2"/>
  <c r="E23" i="2"/>
  <c r="D23" i="2"/>
  <c r="B23" i="2"/>
  <c r="I23" i="2"/>
  <c r="G23" i="2"/>
  <c r="K23" i="2"/>
  <c r="J23" i="2"/>
  <c r="F23" i="2"/>
  <c r="K9" i="2"/>
  <c r="I9" i="2"/>
  <c r="J9" i="2"/>
  <c r="G9" i="2"/>
  <c r="F9" i="2"/>
  <c r="B9" i="2"/>
  <c r="E9" i="2"/>
  <c r="D9" i="2"/>
  <c r="E39" i="2"/>
  <c r="D39" i="2"/>
  <c r="B39" i="2"/>
  <c r="I39" i="2"/>
  <c r="F39" i="2"/>
  <c r="K39" i="2"/>
  <c r="J39" i="2"/>
  <c r="G39" i="2"/>
  <c r="D10" i="2"/>
  <c r="B10" i="2"/>
  <c r="G10" i="2"/>
  <c r="K10" i="2"/>
  <c r="E10" i="2"/>
  <c r="J10" i="2"/>
  <c r="I10" i="2"/>
  <c r="F10" i="2"/>
  <c r="B51" i="2"/>
  <c r="D51" i="2"/>
  <c r="F51" i="2"/>
  <c r="D16" i="2"/>
  <c r="E16" i="2"/>
  <c r="C22" i="2"/>
  <c r="E32" i="2"/>
  <c r="D35" i="2"/>
  <c r="C38" i="2"/>
  <c r="F32" i="2"/>
  <c r="E35" i="2"/>
  <c r="C41" i="2"/>
  <c r="H42" i="2"/>
  <c r="F3" i="2"/>
  <c r="C12" i="2"/>
  <c r="G16" i="2"/>
  <c r="F19" i="2"/>
  <c r="C28" i="2"/>
  <c r="G32" i="2"/>
  <c r="F35" i="2"/>
  <c r="C44" i="2"/>
  <c r="G48" i="2"/>
  <c r="G3" i="2"/>
  <c r="C15" i="2"/>
  <c r="G19" i="2"/>
  <c r="C31" i="2"/>
  <c r="G51" i="2"/>
  <c r="D3" i="2"/>
  <c r="C6" i="2"/>
  <c r="G35" i="2"/>
  <c r="C47" i="2"/>
  <c r="C2" i="2"/>
  <c r="B5" i="2"/>
  <c r="I16" i="2"/>
  <c r="C18" i="2"/>
  <c r="B21" i="2"/>
  <c r="I32" i="2"/>
  <c r="B37" i="2"/>
  <c r="I48" i="2"/>
  <c r="C50" i="2"/>
  <c r="I3" i="2"/>
  <c r="B8" i="2"/>
  <c r="J16" i="2"/>
  <c r="I19" i="2"/>
  <c r="B24" i="2"/>
  <c r="J32" i="2"/>
  <c r="I35" i="2"/>
  <c r="B40" i="2"/>
  <c r="J48" i="2"/>
  <c r="I51" i="2"/>
  <c r="C53" i="2"/>
  <c r="D19" i="2"/>
  <c r="H9" i="2"/>
  <c r="K16" i="2"/>
  <c r="J19" i="2"/>
  <c r="H25" i="2"/>
  <c r="B27" i="2"/>
  <c r="K32" i="2"/>
  <c r="J35" i="2"/>
  <c r="B43" i="2"/>
  <c r="K48" i="2"/>
  <c r="J51" i="2"/>
  <c r="D40" i="2"/>
  <c r="K51" i="2"/>
  <c r="D32" i="2"/>
  <c r="E48" i="2"/>
  <c r="E3" i="2"/>
  <c r="F48" i="2"/>
  <c r="J3" i="2"/>
  <c r="D8" i="2"/>
  <c r="F5" i="2"/>
  <c r="E8" i="2"/>
  <c r="D11" i="2"/>
  <c r="C14" i="2"/>
  <c r="F21" i="2"/>
  <c r="E24" i="2"/>
  <c r="D27" i="2"/>
  <c r="C30" i="2"/>
  <c r="F37" i="2"/>
  <c r="E40" i="2"/>
  <c r="D43" i="2"/>
  <c r="C46" i="2"/>
  <c r="B49" i="2"/>
  <c r="F43" i="2"/>
  <c r="D49" i="2"/>
  <c r="B11" i="2"/>
  <c r="K19" i="2"/>
  <c r="G5" i="2"/>
  <c r="E11" i="2"/>
  <c r="F24" i="2"/>
  <c r="E27" i="2"/>
  <c r="F27" i="2"/>
  <c r="E49" i="2"/>
  <c r="G8" i="2"/>
  <c r="G24" i="2"/>
  <c r="G40" i="2"/>
  <c r="D4" i="2"/>
  <c r="I5" i="2"/>
  <c r="G11" i="2"/>
  <c r="G27" i="2"/>
  <c r="D36" i="2"/>
  <c r="I37" i="2"/>
  <c r="E4" i="2"/>
  <c r="E20" i="2"/>
  <c r="J21" i="2"/>
  <c r="I24" i="2"/>
  <c r="E36" i="2"/>
  <c r="J37" i="2"/>
  <c r="I40" i="2"/>
  <c r="F49" i="2"/>
  <c r="F16" i="2"/>
  <c r="F8" i="2"/>
  <c r="E43" i="2"/>
  <c r="F11" i="2"/>
  <c r="D20" i="2"/>
  <c r="I21" i="2"/>
  <c r="G43" i="2"/>
  <c r="J5" i="2"/>
  <c r="I8" i="2"/>
  <c r="J22" i="2" l="1"/>
  <c r="K22" i="2"/>
  <c r="D22" i="2"/>
  <c r="I22" i="2"/>
  <c r="G22" i="2"/>
  <c r="F22" i="2"/>
  <c r="E22" i="2"/>
  <c r="B22" i="2"/>
  <c r="K53" i="2"/>
  <c r="J53" i="2"/>
  <c r="I53" i="2"/>
  <c r="G53" i="2"/>
  <c r="F53" i="2"/>
  <c r="E53" i="2"/>
  <c r="D53" i="2"/>
  <c r="B53" i="2"/>
  <c r="D46" i="2"/>
  <c r="G46" i="2"/>
  <c r="F46" i="2"/>
  <c r="E46" i="2"/>
  <c r="B46" i="2"/>
  <c r="J46" i="2"/>
  <c r="K46" i="2"/>
  <c r="I46" i="2"/>
  <c r="J28" i="2"/>
  <c r="K28" i="2"/>
  <c r="I28" i="2"/>
  <c r="G28" i="2"/>
  <c r="F28" i="2"/>
  <c r="B28" i="2"/>
  <c r="E28" i="2"/>
  <c r="D28" i="2"/>
  <c r="G30" i="2"/>
  <c r="F30" i="2"/>
  <c r="D30" i="2"/>
  <c r="K30" i="2"/>
  <c r="I30" i="2"/>
  <c r="E30" i="2"/>
  <c r="B30" i="2"/>
  <c r="J30" i="2"/>
  <c r="J44" i="2"/>
  <c r="B44" i="2"/>
  <c r="K44" i="2"/>
  <c r="I44" i="2"/>
  <c r="G44" i="2"/>
  <c r="F44" i="2"/>
  <c r="E44" i="2"/>
  <c r="D44" i="2"/>
  <c r="K50" i="2"/>
  <c r="J50" i="2"/>
  <c r="I50" i="2"/>
  <c r="G50" i="2"/>
  <c r="F50" i="2"/>
  <c r="E50" i="2"/>
  <c r="D50" i="2"/>
  <c r="B50" i="2"/>
  <c r="J18" i="2"/>
  <c r="I18" i="2"/>
  <c r="F18" i="2"/>
  <c r="K18" i="2"/>
  <c r="G18" i="2"/>
  <c r="E18" i="2"/>
  <c r="D18" i="2"/>
  <c r="B18" i="2"/>
  <c r="I47" i="2"/>
  <c r="K47" i="2"/>
  <c r="J47" i="2"/>
  <c r="G47" i="2"/>
  <c r="F47" i="2"/>
  <c r="E47" i="2"/>
  <c r="D47" i="2"/>
  <c r="B47" i="2"/>
  <c r="D6" i="2"/>
  <c r="J6" i="2"/>
  <c r="K6" i="2"/>
  <c r="I6" i="2"/>
  <c r="B6" i="2"/>
  <c r="G6" i="2"/>
  <c r="F6" i="2"/>
  <c r="E6" i="2"/>
  <c r="K15" i="2"/>
  <c r="J15" i="2"/>
  <c r="I15" i="2"/>
  <c r="G15" i="2"/>
  <c r="F15" i="2"/>
  <c r="E15" i="2"/>
  <c r="D15" i="2"/>
  <c r="B15" i="2"/>
  <c r="K12" i="2"/>
  <c r="J12" i="2"/>
  <c r="B12" i="2"/>
  <c r="I12" i="2"/>
  <c r="G12" i="2"/>
  <c r="F12" i="2"/>
  <c r="E12" i="2"/>
  <c r="D12" i="2"/>
  <c r="K31" i="2"/>
  <c r="J31" i="2"/>
  <c r="I31" i="2"/>
  <c r="G31" i="2"/>
  <c r="F31" i="2"/>
  <c r="E31" i="2"/>
  <c r="D31" i="2"/>
  <c r="B31" i="2"/>
  <c r="K2" i="2"/>
  <c r="I2" i="2"/>
  <c r="J2" i="2"/>
  <c r="E2" i="2"/>
  <c r="F2" i="2"/>
  <c r="G2" i="2"/>
  <c r="D2" i="2"/>
  <c r="B2" i="2"/>
  <c r="K41" i="2"/>
  <c r="J41" i="2"/>
  <c r="B41" i="2"/>
  <c r="I41" i="2"/>
  <c r="G41" i="2"/>
  <c r="F41" i="2"/>
  <c r="E41" i="2"/>
  <c r="D41" i="2"/>
  <c r="F14" i="2"/>
  <c r="E14" i="2"/>
  <c r="D14" i="2"/>
  <c r="B14" i="2"/>
  <c r="G14" i="2"/>
  <c r="K14" i="2"/>
  <c r="I14" i="2"/>
  <c r="J14" i="2"/>
  <c r="K38" i="2"/>
  <c r="J38" i="2"/>
  <c r="I38" i="2"/>
  <c r="G38" i="2"/>
  <c r="F38" i="2"/>
  <c r="E38" i="2"/>
  <c r="D38" i="2"/>
  <c r="B38" i="2"/>
</calcChain>
</file>

<file path=xl/sharedStrings.xml><?xml version="1.0" encoding="utf-8"?>
<sst xmlns="http://schemas.openxmlformats.org/spreadsheetml/2006/main" count="11" uniqueCount="11">
  <si>
    <t>YearWeek</t>
  </si>
  <si>
    <t>WeekStart</t>
  </si>
  <si>
    <t>WeekEnd</t>
  </si>
  <si>
    <t>Month</t>
  </si>
  <si>
    <t>Quarter</t>
  </si>
  <si>
    <t>FiscalPeriod</t>
  </si>
  <si>
    <t>HolidayFlag</t>
  </si>
  <si>
    <t>Season</t>
  </si>
  <si>
    <t>ISOWeek</t>
  </si>
  <si>
    <t>ISOYear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</si>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</sst>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1" fontId="1" fillId="0" borderId="0" xfId="0" applyNumberFormat="1" applyFont="1"/>
    <xf numFmtId="49" fontId="1" fillId="0" borderId="0" xfId="0" applyNumberFormat="1" applyFont="1"/>
    <xf numFmtId="16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3"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64" formatCode="yyyy\-mm\-dd;@"/>
      <fill>
        <patternFill patternType="none">
          <fgColor indexed="64"/>
          <bgColor indexed="65"/>
        </patternFill>
      </fill>
    </dxf>
    <dxf>
      <numFmt numFmtId="164" formatCode="yyyy\-mm\-dd;@"/>
      <fill>
        <patternFill patternType="none">
          <fgColor indexed="64"/>
          <bgColor indexed="65"/>
        </patternFill>
      </fill>
    </dxf>
    <dxf>
      <numFmt numFmtId="164" formatCode="yyyy\-mm\-dd;@"/>
      <fill>
        <patternFill patternType="none">
          <fgColor indexed="64"/>
          <bgColor indexed="65"/>
        </patternFill>
      </fill>
    </dxf>
    <dxf>
      <numFmt numFmtId="164" formatCode="yyyy\-mm\-dd;@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charset val="238"/>
        <scheme val="minor"/>
      </font>
      <numFmt numFmtId="1" formatCode="0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2E3AD4-39CC-4C61-B57D-C0D279FC80F0}" name="Calendar" displayName="Calendar" ref="A1:K53" totalsRowShown="0" headerRowDxfId="12" dataDxfId="11">
  <autoFilter ref="A1:K53" xr:uid="{732E3AD4-39CC-4C61-B57D-C0D279FC80F0}"/>
  <tableColumns count="11">
    <tableColumn id="1" xr3:uid="{7D387976-A6A4-4201-B22C-F08D31345AE0}" name="YearWeek" dataDxfId="10">
      <calculatedColumnFormula>"2024-" &amp; TEXT(ROW(A1),"00")</calculatedColumnFormula>
    </tableColumn>
    <tableColumn id="11" xr3:uid="{C1C054B5-1BF3-42F5-AE62-5CCFC7DF1CD0}" name="Date" dataDxfId="9">
      <calculatedColumnFormula>Calendar[[#This Row],[WeekStart]]</calculatedColumnFormula>
    </tableColumn>
    <tableColumn id="2" xr3:uid="{86780591-3054-4064-BD22-48996C94E37D}" name="WeekStart" dataDxfId="8">
      <calculatedColumnFormula>DATE(LEFT(A2,4),1,1)
 + MOD(1 - WEEKDAY(DATE(LEFT(A2,4),1,1),2),7)
 + 7*(VALUE(RIGHT(A2,2)) - 1)</calculatedColumnFormula>
    </tableColumn>
    <tableColumn id="3" xr3:uid="{4BC0EB30-5D56-40E7-9EC8-01CE744E3BC6}" name="WeekEnd" dataDxfId="7">
      <calculatedColumnFormula>C2+6</calculatedColumnFormula>
    </tableColumn>
    <tableColumn id="4" xr3:uid="{B7B078C8-57C8-45CE-BFE2-BEC225569A68}" name="Month" dataDxfId="6">
      <calculatedColumnFormula>MONTH(C2)</calculatedColumnFormula>
    </tableColumn>
    <tableColumn id="5" xr3:uid="{65F9B795-47D6-4F7D-A44A-16494C23DE78}" name="Quarter" dataDxfId="5">
      <calculatedColumnFormula>"Q"&amp;ROUNDUP(MONTH(C2)/3,0)</calculatedColumnFormula>
    </tableColumn>
    <tableColumn id="6" xr3:uid="{4EB09F05-000E-40E8-A16E-7508DD092450}" name="FiscalPeriod" dataDxfId="4">
      <calculatedColumnFormula>"P"&amp;TEXT(MONTH(C2),"00")</calculatedColumnFormula>
    </tableColumn>
    <tableColumn id="7" xr3:uid="{E6593309-9E03-4976-8F96-42F82E3D4207}" name="HolidayFlag" dataDxfId="3">
      <calculatedColumnFormula>IF(OR(A2="2024-01",A2="2024-11",A2="2024-13",A2="2024-14",
       A2="2024-18",A2="2024-21",A2="2024-33",A2="2024-43",
       A2="2024-44",A2="2024-52"),1,0)</calculatedColumnFormula>
    </tableColumn>
    <tableColumn id="8" xr3:uid="{25C494EB-9793-428A-A55B-F30AB1688963}" name="Season" dataDxfId="2">
      <calculatedColumnFormula>IF(MONTH(C2)&lt;=2,"Winter",
IF(MONTH(C2)&lt;=5,"Spring",
IF(MONTH(C2)&lt;=8,"Summer",
IF(MONTH(C2)&lt;=11,"Autumn","Winter"))))</calculatedColumnFormula>
    </tableColumn>
    <tableColumn id="9" xr3:uid="{E4128E21-4DD9-4525-8B80-317532DA6773}" name="ISOWeek" dataDxfId="1">
      <calculatedColumnFormula>_xlfn.ISOWEEKNUM(C2)</calculatedColumnFormula>
    </tableColumn>
    <tableColumn id="10" xr3:uid="{C0D7A588-55E8-40F4-BF97-033607C9C0E8}" name="ISOYear" dataDxfId="0">
      <calculatedColumnFormula>YEAR(C2)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08BE-6E0E-437B-8B9F-A539A70EF9E9}">
  <sheetPr codeName="Sheet4"/>
  <dimension ref="A1:K53"/>
  <sheetViews>
    <sheetView tabSelected="1" workbookViewId="0">
      <selection activeCell="O7" sqref="O7"/>
    </sheetView>
  </sheetViews>
  <sheetFormatPr defaultRowHeight="14.4" x14ac:dyDescent="0.3"/>
  <cols>
    <col min="1" max="1" width="11.6640625" style="4" bestFit="1" customWidth="1"/>
    <col min="2" max="2" width="10.33203125" style="4" bestFit="1" customWidth="1"/>
    <col min="3" max="3" width="12" style="4" bestFit="1" customWidth="1"/>
    <col min="4" max="4" width="11.21875" style="4" bestFit="1" customWidth="1"/>
    <col min="5" max="5" width="9" style="5" bestFit="1" customWidth="1"/>
    <col min="6" max="6" width="9.6640625" style="6" bestFit="1" customWidth="1"/>
    <col min="7" max="7" width="13.109375" style="6" bestFit="1" customWidth="1"/>
    <col min="8" max="8" width="12.88671875" style="5" bestFit="1" customWidth="1"/>
    <col min="9" max="9" width="9.21875" style="6" bestFit="1" customWidth="1"/>
    <col min="10" max="10" width="10.88671875" style="5" bestFit="1" customWidth="1"/>
    <col min="11" max="11" width="9.77734375" style="5" bestFit="1" customWidth="1"/>
  </cols>
  <sheetData>
    <row r="1" spans="1:11" x14ac:dyDescent="0.3">
      <c r="A1" s="1" t="s">
        <v>0</v>
      </c>
      <c r="B1" s="1" t="s">
        <v>10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2" t="s">
        <v>9</v>
      </c>
    </row>
    <row r="2" spans="1:11" x14ac:dyDescent="0.3">
      <c r="A2" s="4" t="str">
        <f>"2024-" &amp; TEXT(ROW(A1),"00")</f>
        <v>2024-01</v>
      </c>
      <c r="B2" s="4">
        <f>Calendar[[#This Row],[WeekStart]]</f>
        <v>45292</v>
      </c>
      <c r="C2" s="4">
        <f>DATE(LEFT(A2,4),1,1)
 + MOD(1 - WEEKDAY(DATE(LEFT(A2,4),1,1),2),7)
 + 7*(VALUE(RIGHT(A2,2)) - 1)</f>
        <v>45292</v>
      </c>
      <c r="D2" s="4">
        <f>C2+6</f>
        <v>45298</v>
      </c>
      <c r="E2" s="5">
        <f>MONTH(C2)</f>
        <v>1</v>
      </c>
      <c r="F2" s="6" t="str">
        <f>"Q"&amp;ROUNDUP(MONTH(C2)/3,0)</f>
        <v>Q1</v>
      </c>
      <c r="G2" s="6" t="str">
        <f>"P"&amp;TEXT(MONTH(C2),"00")</f>
        <v>P01</v>
      </c>
      <c r="H2" s="5">
        <f>IF(OR(A2="2024-01",A2="2024-11",A2="2024-13",A2="2024-14",
       A2="2024-18",A2="2024-21",A2="2024-33",A2="2024-43",
       A2="2024-44",A2="2024-52"),1,0)</f>
        <v>1</v>
      </c>
      <c r="I2" s="6" t="str">
        <f>IF(MONTH(C2)&lt;=2,"Winter",
IF(MONTH(C2)&lt;=5,"Spring",
IF(MONTH(C2)&lt;=8,"Summer",
IF(MONTH(C2)&lt;=11,"Autumn","Winter"))))</f>
        <v>Winter</v>
      </c>
      <c r="J2" s="5">
        <f>_xlfn.ISOWEEKNUM(C2)</f>
        <v>1</v>
      </c>
      <c r="K2" s="5">
        <f>YEAR(C2)</f>
        <v>2024</v>
      </c>
    </row>
    <row r="3" spans="1:11" x14ac:dyDescent="0.3">
      <c r="A3" s="4" t="str">
        <f t="shared" ref="A3:A52" si="0">"2024-" &amp; TEXT(ROW(A2),"00")</f>
        <v>2024-02</v>
      </c>
      <c r="B3" s="4">
        <f>Calendar[[#This Row],[WeekStart]]</f>
        <v>45299</v>
      </c>
      <c r="C3" s="4">
        <f>DATE(LEFT(A3,4),1,1)
 + MOD(1 - WEEKDAY(DATE(LEFT(A3,4),1,1),2),7)
 + 7*(VALUE(RIGHT(A3,2)) - 1)</f>
        <v>45299</v>
      </c>
      <c r="D3" s="4">
        <f t="shared" ref="D3:D53" si="1">C3+6</f>
        <v>45305</v>
      </c>
      <c r="E3" s="5">
        <f t="shared" ref="E3:E53" si="2">MONTH(C3)</f>
        <v>1</v>
      </c>
      <c r="F3" s="6" t="str">
        <f t="shared" ref="F3:F53" si="3">"Q"&amp;ROUNDUP(MONTH(C3)/3,0)</f>
        <v>Q1</v>
      </c>
      <c r="G3" s="6" t="str">
        <f t="shared" ref="G3:G53" si="4">"P"&amp;TEXT(MONTH(C3),"00")</f>
        <v>P01</v>
      </c>
      <c r="H3" s="5">
        <f t="shared" ref="H3:H53" si="5">IF(OR(A3="2024-01",A3="2024-11",A3="2024-13",A3="2024-14",
       A3="2024-18",A3="2024-21",A3="2024-33",A3="2024-43",
       A3="2024-44",A3="2024-52"),1,0)</f>
        <v>0</v>
      </c>
      <c r="I3" s="6" t="str">
        <f t="shared" ref="I3:I53" si="6">IF(MONTH(C3)&lt;=2,"Winter",
IF(MONTH(C3)&lt;=5,"Spring",
IF(MONTH(C3)&lt;=8,"Summer",
IF(MONTH(C3)&lt;=11,"Autumn","Winter"))))</f>
        <v>Winter</v>
      </c>
      <c r="J3" s="5">
        <f t="shared" ref="J3:J53" si="7">_xlfn.ISOWEEKNUM(C3)</f>
        <v>2</v>
      </c>
      <c r="K3" s="5">
        <f t="shared" ref="K3:K53" si="8">YEAR(C3)</f>
        <v>2024</v>
      </c>
    </row>
    <row r="4" spans="1:11" x14ac:dyDescent="0.3">
      <c r="A4" s="4" t="str">
        <f t="shared" si="0"/>
        <v>2024-03</v>
      </c>
      <c r="B4" s="4">
        <f>Calendar[[#This Row],[WeekStart]]</f>
        <v>45306</v>
      </c>
      <c r="C4" s="4">
        <f t="shared" ref="C4:C53" si="9">DATE(LEFT(A4,4),1,1)
 + MOD(1 - WEEKDAY(DATE(LEFT(A4,4),1,1),2),7)
 + 7*(VALUE(RIGHT(A4,2)) - 1)</f>
        <v>45306</v>
      </c>
      <c r="D4" s="4">
        <f t="shared" si="1"/>
        <v>45312</v>
      </c>
      <c r="E4" s="5">
        <f t="shared" si="2"/>
        <v>1</v>
      </c>
      <c r="F4" s="6" t="str">
        <f t="shared" si="3"/>
        <v>Q1</v>
      </c>
      <c r="G4" s="6" t="str">
        <f t="shared" si="4"/>
        <v>P01</v>
      </c>
      <c r="H4" s="5">
        <f t="shared" si="5"/>
        <v>0</v>
      </c>
      <c r="I4" s="6" t="str">
        <f t="shared" si="6"/>
        <v>Winter</v>
      </c>
      <c r="J4" s="5">
        <f t="shared" si="7"/>
        <v>3</v>
      </c>
      <c r="K4" s="5">
        <f t="shared" si="8"/>
        <v>2024</v>
      </c>
    </row>
    <row r="5" spans="1:11" x14ac:dyDescent="0.3">
      <c r="A5" s="4" t="str">
        <f t="shared" si="0"/>
        <v>2024-04</v>
      </c>
      <c r="B5" s="4">
        <f>Calendar[[#This Row],[WeekStart]]</f>
        <v>45313</v>
      </c>
      <c r="C5" s="4">
        <f t="shared" si="9"/>
        <v>45313</v>
      </c>
      <c r="D5" s="4">
        <f t="shared" si="1"/>
        <v>45319</v>
      </c>
      <c r="E5" s="5">
        <f t="shared" si="2"/>
        <v>1</v>
      </c>
      <c r="F5" s="6" t="str">
        <f t="shared" si="3"/>
        <v>Q1</v>
      </c>
      <c r="G5" s="6" t="str">
        <f t="shared" si="4"/>
        <v>P01</v>
      </c>
      <c r="H5" s="5">
        <f t="shared" si="5"/>
        <v>0</v>
      </c>
      <c r="I5" s="6" t="str">
        <f t="shared" si="6"/>
        <v>Winter</v>
      </c>
      <c r="J5" s="5">
        <f t="shared" si="7"/>
        <v>4</v>
      </c>
      <c r="K5" s="5">
        <f t="shared" si="8"/>
        <v>2024</v>
      </c>
    </row>
    <row r="6" spans="1:11" x14ac:dyDescent="0.3">
      <c r="A6" s="4" t="str">
        <f t="shared" si="0"/>
        <v>2024-05</v>
      </c>
      <c r="B6" s="4">
        <f>Calendar[[#This Row],[WeekStart]]</f>
        <v>45320</v>
      </c>
      <c r="C6" s="4">
        <f t="shared" si="9"/>
        <v>45320</v>
      </c>
      <c r="D6" s="4">
        <f t="shared" si="1"/>
        <v>45326</v>
      </c>
      <c r="E6" s="5">
        <f t="shared" si="2"/>
        <v>1</v>
      </c>
      <c r="F6" s="6" t="str">
        <f t="shared" si="3"/>
        <v>Q1</v>
      </c>
      <c r="G6" s="6" t="str">
        <f t="shared" si="4"/>
        <v>P01</v>
      </c>
      <c r="H6" s="5">
        <f t="shared" si="5"/>
        <v>0</v>
      </c>
      <c r="I6" s="6" t="str">
        <f t="shared" si="6"/>
        <v>Winter</v>
      </c>
      <c r="J6" s="5">
        <f t="shared" si="7"/>
        <v>5</v>
      </c>
      <c r="K6" s="5">
        <f t="shared" si="8"/>
        <v>2024</v>
      </c>
    </row>
    <row r="7" spans="1:11" x14ac:dyDescent="0.3">
      <c r="A7" s="4" t="str">
        <f t="shared" si="0"/>
        <v>2024-06</v>
      </c>
      <c r="B7" s="4">
        <f>Calendar[[#This Row],[WeekStart]]</f>
        <v>45327</v>
      </c>
      <c r="C7" s="4">
        <f t="shared" si="9"/>
        <v>45327</v>
      </c>
      <c r="D7" s="4">
        <f t="shared" si="1"/>
        <v>45333</v>
      </c>
      <c r="E7" s="5">
        <f t="shared" si="2"/>
        <v>2</v>
      </c>
      <c r="F7" s="6" t="str">
        <f t="shared" si="3"/>
        <v>Q1</v>
      </c>
      <c r="G7" s="6" t="str">
        <f t="shared" si="4"/>
        <v>P02</v>
      </c>
      <c r="H7" s="5">
        <f t="shared" si="5"/>
        <v>0</v>
      </c>
      <c r="I7" s="6" t="str">
        <f t="shared" si="6"/>
        <v>Winter</v>
      </c>
      <c r="J7" s="5">
        <f t="shared" si="7"/>
        <v>6</v>
      </c>
      <c r="K7" s="5">
        <f t="shared" si="8"/>
        <v>2024</v>
      </c>
    </row>
    <row r="8" spans="1:11" x14ac:dyDescent="0.3">
      <c r="A8" s="4" t="str">
        <f t="shared" si="0"/>
        <v>2024-07</v>
      </c>
      <c r="B8" s="4">
        <f>Calendar[[#This Row],[WeekStart]]</f>
        <v>45334</v>
      </c>
      <c r="C8" s="4">
        <f t="shared" si="9"/>
        <v>45334</v>
      </c>
      <c r="D8" s="4">
        <f t="shared" si="1"/>
        <v>45340</v>
      </c>
      <c r="E8" s="5">
        <f t="shared" si="2"/>
        <v>2</v>
      </c>
      <c r="F8" s="6" t="str">
        <f t="shared" si="3"/>
        <v>Q1</v>
      </c>
      <c r="G8" s="6" t="str">
        <f t="shared" si="4"/>
        <v>P02</v>
      </c>
      <c r="H8" s="5">
        <f t="shared" si="5"/>
        <v>0</v>
      </c>
      <c r="I8" s="6" t="str">
        <f t="shared" si="6"/>
        <v>Winter</v>
      </c>
      <c r="J8" s="5">
        <f t="shared" si="7"/>
        <v>7</v>
      </c>
      <c r="K8" s="5">
        <f t="shared" si="8"/>
        <v>2024</v>
      </c>
    </row>
    <row r="9" spans="1:11" x14ac:dyDescent="0.3">
      <c r="A9" s="4" t="str">
        <f t="shared" si="0"/>
        <v>2024-08</v>
      </c>
      <c r="B9" s="4">
        <f>Calendar[[#This Row],[WeekStart]]</f>
        <v>45341</v>
      </c>
      <c r="C9" s="4">
        <f t="shared" si="9"/>
        <v>45341</v>
      </c>
      <c r="D9" s="4">
        <f t="shared" si="1"/>
        <v>45347</v>
      </c>
      <c r="E9" s="5">
        <f t="shared" si="2"/>
        <v>2</v>
      </c>
      <c r="F9" s="6" t="str">
        <f t="shared" si="3"/>
        <v>Q1</v>
      </c>
      <c r="G9" s="6" t="str">
        <f t="shared" si="4"/>
        <v>P02</v>
      </c>
      <c r="H9" s="5">
        <f t="shared" si="5"/>
        <v>0</v>
      </c>
      <c r="I9" s="6" t="str">
        <f t="shared" si="6"/>
        <v>Winter</v>
      </c>
      <c r="J9" s="5">
        <f t="shared" si="7"/>
        <v>8</v>
      </c>
      <c r="K9" s="5">
        <f t="shared" si="8"/>
        <v>2024</v>
      </c>
    </row>
    <row r="10" spans="1:11" x14ac:dyDescent="0.3">
      <c r="A10" s="4" t="str">
        <f t="shared" si="0"/>
        <v>2024-09</v>
      </c>
      <c r="B10" s="4">
        <f>Calendar[[#This Row],[WeekStart]]</f>
        <v>45348</v>
      </c>
      <c r="C10" s="4">
        <f t="shared" si="9"/>
        <v>45348</v>
      </c>
      <c r="D10" s="4">
        <f t="shared" si="1"/>
        <v>45354</v>
      </c>
      <c r="E10" s="5">
        <f t="shared" si="2"/>
        <v>2</v>
      </c>
      <c r="F10" s="6" t="str">
        <f t="shared" si="3"/>
        <v>Q1</v>
      </c>
      <c r="G10" s="6" t="str">
        <f t="shared" si="4"/>
        <v>P02</v>
      </c>
      <c r="H10" s="5">
        <f t="shared" si="5"/>
        <v>0</v>
      </c>
      <c r="I10" s="6" t="str">
        <f>IF(MONTH(C10)&lt;=2,"Winter",
IF(MONTH(C10)&lt;=5,"Spring",
IF(MONTH(C10)&lt;=8,"Summer",
IF(MONTH(C10)&lt;=11,"Autumn","Winter"))))</f>
        <v>Winter</v>
      </c>
      <c r="J10" s="5">
        <f t="shared" si="7"/>
        <v>9</v>
      </c>
      <c r="K10" s="5">
        <f t="shared" si="8"/>
        <v>2024</v>
      </c>
    </row>
    <row r="11" spans="1:11" x14ac:dyDescent="0.3">
      <c r="A11" s="4" t="str">
        <f t="shared" si="0"/>
        <v>2024-10</v>
      </c>
      <c r="B11" s="4">
        <f>Calendar[[#This Row],[WeekStart]]</f>
        <v>45355</v>
      </c>
      <c r="C11" s="4">
        <f t="shared" si="9"/>
        <v>45355</v>
      </c>
      <c r="D11" s="4">
        <f t="shared" si="1"/>
        <v>45361</v>
      </c>
      <c r="E11" s="5">
        <f t="shared" si="2"/>
        <v>3</v>
      </c>
      <c r="F11" s="6" t="str">
        <f t="shared" si="3"/>
        <v>Q1</v>
      </c>
      <c r="G11" s="6" t="str">
        <f t="shared" si="4"/>
        <v>P03</v>
      </c>
      <c r="H11" s="5">
        <f t="shared" si="5"/>
        <v>0</v>
      </c>
      <c r="I11" s="6" t="str">
        <f t="shared" si="6"/>
        <v>Spring</v>
      </c>
      <c r="J11" s="5">
        <f t="shared" si="7"/>
        <v>10</v>
      </c>
      <c r="K11" s="5">
        <f t="shared" si="8"/>
        <v>2024</v>
      </c>
    </row>
    <row r="12" spans="1:11" x14ac:dyDescent="0.3">
      <c r="A12" s="4" t="str">
        <f t="shared" si="0"/>
        <v>2024-11</v>
      </c>
      <c r="B12" s="4">
        <f>Calendar[[#This Row],[WeekStart]]</f>
        <v>45362</v>
      </c>
      <c r="C12" s="4">
        <f t="shared" si="9"/>
        <v>45362</v>
      </c>
      <c r="D12" s="4">
        <f t="shared" si="1"/>
        <v>45368</v>
      </c>
      <c r="E12" s="5">
        <f>MONTH(C12)</f>
        <v>3</v>
      </c>
      <c r="F12" s="6" t="str">
        <f t="shared" si="3"/>
        <v>Q1</v>
      </c>
      <c r="G12" s="6" t="str">
        <f t="shared" si="4"/>
        <v>P03</v>
      </c>
      <c r="H12" s="5">
        <f t="shared" si="5"/>
        <v>1</v>
      </c>
      <c r="I12" s="6" t="str">
        <f t="shared" si="6"/>
        <v>Spring</v>
      </c>
      <c r="J12" s="5">
        <f t="shared" si="7"/>
        <v>11</v>
      </c>
      <c r="K12" s="5">
        <f t="shared" si="8"/>
        <v>2024</v>
      </c>
    </row>
    <row r="13" spans="1:11" x14ac:dyDescent="0.3">
      <c r="A13" s="4" t="str">
        <f t="shared" si="0"/>
        <v>2024-12</v>
      </c>
      <c r="B13" s="4">
        <f>Calendar[[#This Row],[WeekStart]]</f>
        <v>45369</v>
      </c>
      <c r="C13" s="4">
        <f t="shared" si="9"/>
        <v>45369</v>
      </c>
      <c r="D13" s="4">
        <f t="shared" si="1"/>
        <v>45375</v>
      </c>
      <c r="E13" s="5">
        <f t="shared" si="2"/>
        <v>3</v>
      </c>
      <c r="F13" s="6" t="str">
        <f t="shared" si="3"/>
        <v>Q1</v>
      </c>
      <c r="G13" s="6" t="str">
        <f t="shared" si="4"/>
        <v>P03</v>
      </c>
      <c r="H13" s="5">
        <f t="shared" si="5"/>
        <v>0</v>
      </c>
      <c r="I13" s="6" t="str">
        <f t="shared" si="6"/>
        <v>Spring</v>
      </c>
      <c r="J13" s="5">
        <f t="shared" si="7"/>
        <v>12</v>
      </c>
      <c r="K13" s="5">
        <f t="shared" si="8"/>
        <v>2024</v>
      </c>
    </row>
    <row r="14" spans="1:11" x14ac:dyDescent="0.3">
      <c r="A14" s="4" t="str">
        <f t="shared" si="0"/>
        <v>2024-13</v>
      </c>
      <c r="B14" s="4">
        <f>Calendar[[#This Row],[WeekStart]]</f>
        <v>45376</v>
      </c>
      <c r="C14" s="4">
        <f t="shared" si="9"/>
        <v>45376</v>
      </c>
      <c r="D14" s="4">
        <f t="shared" si="1"/>
        <v>45382</v>
      </c>
      <c r="E14" s="5">
        <f t="shared" si="2"/>
        <v>3</v>
      </c>
      <c r="F14" s="6" t="str">
        <f t="shared" si="3"/>
        <v>Q1</v>
      </c>
      <c r="G14" s="6" t="str">
        <f t="shared" si="4"/>
        <v>P03</v>
      </c>
      <c r="H14" s="5">
        <f t="shared" si="5"/>
        <v>1</v>
      </c>
      <c r="I14" s="6" t="str">
        <f t="shared" si="6"/>
        <v>Spring</v>
      </c>
      <c r="J14" s="5">
        <f t="shared" si="7"/>
        <v>13</v>
      </c>
      <c r="K14" s="5">
        <f t="shared" si="8"/>
        <v>2024</v>
      </c>
    </row>
    <row r="15" spans="1:11" x14ac:dyDescent="0.3">
      <c r="A15" s="4" t="str">
        <f t="shared" si="0"/>
        <v>2024-14</v>
      </c>
      <c r="B15" s="4">
        <f>Calendar[[#This Row],[WeekStart]]</f>
        <v>45383</v>
      </c>
      <c r="C15" s="4">
        <f t="shared" si="9"/>
        <v>45383</v>
      </c>
      <c r="D15" s="4">
        <f t="shared" si="1"/>
        <v>45389</v>
      </c>
      <c r="E15" s="5">
        <f t="shared" si="2"/>
        <v>4</v>
      </c>
      <c r="F15" s="6" t="str">
        <f t="shared" si="3"/>
        <v>Q2</v>
      </c>
      <c r="G15" s="6" t="str">
        <f t="shared" si="4"/>
        <v>P04</v>
      </c>
      <c r="H15" s="5">
        <f t="shared" si="5"/>
        <v>1</v>
      </c>
      <c r="I15" s="6" t="str">
        <f t="shared" si="6"/>
        <v>Spring</v>
      </c>
      <c r="J15" s="5">
        <f t="shared" si="7"/>
        <v>14</v>
      </c>
      <c r="K15" s="5">
        <f t="shared" si="8"/>
        <v>2024</v>
      </c>
    </row>
    <row r="16" spans="1:11" x14ac:dyDescent="0.3">
      <c r="A16" s="4" t="str">
        <f t="shared" si="0"/>
        <v>2024-15</v>
      </c>
      <c r="B16" s="4">
        <f>Calendar[[#This Row],[WeekStart]]</f>
        <v>45390</v>
      </c>
      <c r="C16" s="4">
        <f t="shared" si="9"/>
        <v>45390</v>
      </c>
      <c r="D16" s="4">
        <f t="shared" si="1"/>
        <v>45396</v>
      </c>
      <c r="E16" s="5">
        <f t="shared" si="2"/>
        <v>4</v>
      </c>
      <c r="F16" s="6" t="str">
        <f t="shared" si="3"/>
        <v>Q2</v>
      </c>
      <c r="G16" s="6" t="str">
        <f t="shared" si="4"/>
        <v>P04</v>
      </c>
      <c r="H16" s="5">
        <f t="shared" si="5"/>
        <v>0</v>
      </c>
      <c r="I16" s="6" t="str">
        <f t="shared" si="6"/>
        <v>Spring</v>
      </c>
      <c r="J16" s="5">
        <f t="shared" si="7"/>
        <v>15</v>
      </c>
      <c r="K16" s="5">
        <f t="shared" si="8"/>
        <v>2024</v>
      </c>
    </row>
    <row r="17" spans="1:11" x14ac:dyDescent="0.3">
      <c r="A17" s="4" t="str">
        <f t="shared" si="0"/>
        <v>2024-16</v>
      </c>
      <c r="B17" s="4">
        <f>Calendar[[#This Row],[WeekStart]]</f>
        <v>45397</v>
      </c>
      <c r="C17" s="4">
        <f t="shared" si="9"/>
        <v>45397</v>
      </c>
      <c r="D17" s="4">
        <f t="shared" si="1"/>
        <v>45403</v>
      </c>
      <c r="E17" s="5">
        <f t="shared" si="2"/>
        <v>4</v>
      </c>
      <c r="F17" s="6" t="str">
        <f t="shared" si="3"/>
        <v>Q2</v>
      </c>
      <c r="G17" s="6" t="str">
        <f t="shared" si="4"/>
        <v>P04</v>
      </c>
      <c r="H17" s="5">
        <f t="shared" si="5"/>
        <v>0</v>
      </c>
      <c r="I17" s="6" t="str">
        <f t="shared" si="6"/>
        <v>Spring</v>
      </c>
      <c r="J17" s="5">
        <f t="shared" si="7"/>
        <v>16</v>
      </c>
      <c r="K17" s="5">
        <f t="shared" si="8"/>
        <v>2024</v>
      </c>
    </row>
    <row r="18" spans="1:11" x14ac:dyDescent="0.3">
      <c r="A18" s="4" t="str">
        <f t="shared" si="0"/>
        <v>2024-17</v>
      </c>
      <c r="B18" s="4">
        <f>Calendar[[#This Row],[WeekStart]]</f>
        <v>45404</v>
      </c>
      <c r="C18" s="4">
        <f t="shared" si="9"/>
        <v>45404</v>
      </c>
      <c r="D18" s="4">
        <f t="shared" si="1"/>
        <v>45410</v>
      </c>
      <c r="E18" s="5">
        <f t="shared" si="2"/>
        <v>4</v>
      </c>
      <c r="F18" s="6" t="str">
        <f t="shared" si="3"/>
        <v>Q2</v>
      </c>
      <c r="G18" s="6" t="str">
        <f t="shared" si="4"/>
        <v>P04</v>
      </c>
      <c r="H18" s="5">
        <f t="shared" si="5"/>
        <v>0</v>
      </c>
      <c r="I18" s="6" t="str">
        <f t="shared" si="6"/>
        <v>Spring</v>
      </c>
      <c r="J18" s="5">
        <f t="shared" si="7"/>
        <v>17</v>
      </c>
      <c r="K18" s="5">
        <f t="shared" si="8"/>
        <v>2024</v>
      </c>
    </row>
    <row r="19" spans="1:11" x14ac:dyDescent="0.3">
      <c r="A19" s="4" t="str">
        <f t="shared" si="0"/>
        <v>2024-18</v>
      </c>
      <c r="B19" s="4">
        <f>Calendar[[#This Row],[WeekStart]]</f>
        <v>45411</v>
      </c>
      <c r="C19" s="4">
        <f t="shared" si="9"/>
        <v>45411</v>
      </c>
      <c r="D19" s="4">
        <f t="shared" si="1"/>
        <v>45417</v>
      </c>
      <c r="E19" s="5">
        <f t="shared" si="2"/>
        <v>4</v>
      </c>
      <c r="F19" s="6" t="str">
        <f t="shared" si="3"/>
        <v>Q2</v>
      </c>
      <c r="G19" s="6" t="str">
        <f t="shared" si="4"/>
        <v>P04</v>
      </c>
      <c r="H19" s="5">
        <f t="shared" si="5"/>
        <v>1</v>
      </c>
      <c r="I19" s="6" t="str">
        <f t="shared" si="6"/>
        <v>Spring</v>
      </c>
      <c r="J19" s="5">
        <f t="shared" si="7"/>
        <v>18</v>
      </c>
      <c r="K19" s="5">
        <f t="shared" si="8"/>
        <v>2024</v>
      </c>
    </row>
    <row r="20" spans="1:11" x14ac:dyDescent="0.3">
      <c r="A20" s="4" t="str">
        <f t="shared" si="0"/>
        <v>2024-19</v>
      </c>
      <c r="B20" s="4">
        <f>Calendar[[#This Row],[WeekStart]]</f>
        <v>45418</v>
      </c>
      <c r="C20" s="4">
        <f t="shared" si="9"/>
        <v>45418</v>
      </c>
      <c r="D20" s="4">
        <f t="shared" si="1"/>
        <v>45424</v>
      </c>
      <c r="E20" s="5">
        <f t="shared" si="2"/>
        <v>5</v>
      </c>
      <c r="F20" s="6" t="str">
        <f t="shared" si="3"/>
        <v>Q2</v>
      </c>
      <c r="G20" s="6" t="str">
        <f t="shared" si="4"/>
        <v>P05</v>
      </c>
      <c r="H20" s="5">
        <f t="shared" si="5"/>
        <v>0</v>
      </c>
      <c r="I20" s="6" t="str">
        <f t="shared" si="6"/>
        <v>Spring</v>
      </c>
      <c r="J20" s="5">
        <f t="shared" si="7"/>
        <v>19</v>
      </c>
      <c r="K20" s="5">
        <f t="shared" si="8"/>
        <v>2024</v>
      </c>
    </row>
    <row r="21" spans="1:11" x14ac:dyDescent="0.3">
      <c r="A21" s="4" t="str">
        <f t="shared" si="0"/>
        <v>2024-20</v>
      </c>
      <c r="B21" s="4">
        <f>Calendar[[#This Row],[WeekStart]]</f>
        <v>45425</v>
      </c>
      <c r="C21" s="4">
        <f t="shared" si="9"/>
        <v>45425</v>
      </c>
      <c r="D21" s="4">
        <f t="shared" si="1"/>
        <v>45431</v>
      </c>
      <c r="E21" s="5">
        <f t="shared" si="2"/>
        <v>5</v>
      </c>
      <c r="F21" s="6" t="str">
        <f t="shared" si="3"/>
        <v>Q2</v>
      </c>
      <c r="G21" s="6" t="str">
        <f t="shared" si="4"/>
        <v>P05</v>
      </c>
      <c r="H21" s="5">
        <f t="shared" si="5"/>
        <v>0</v>
      </c>
      <c r="I21" s="6" t="str">
        <f t="shared" si="6"/>
        <v>Spring</v>
      </c>
      <c r="J21" s="5">
        <f t="shared" si="7"/>
        <v>20</v>
      </c>
      <c r="K21" s="5">
        <f t="shared" si="8"/>
        <v>2024</v>
      </c>
    </row>
    <row r="22" spans="1:11" x14ac:dyDescent="0.3">
      <c r="A22" s="4" t="str">
        <f t="shared" si="0"/>
        <v>2024-21</v>
      </c>
      <c r="B22" s="4">
        <f>Calendar[[#This Row],[WeekStart]]</f>
        <v>45432</v>
      </c>
      <c r="C22" s="4">
        <f t="shared" si="9"/>
        <v>45432</v>
      </c>
      <c r="D22" s="4">
        <f t="shared" si="1"/>
        <v>45438</v>
      </c>
      <c r="E22" s="5">
        <f t="shared" si="2"/>
        <v>5</v>
      </c>
      <c r="F22" s="6" t="str">
        <f t="shared" si="3"/>
        <v>Q2</v>
      </c>
      <c r="G22" s="6" t="str">
        <f t="shared" si="4"/>
        <v>P05</v>
      </c>
      <c r="H22" s="5">
        <f t="shared" si="5"/>
        <v>1</v>
      </c>
      <c r="I22" s="6" t="str">
        <f t="shared" si="6"/>
        <v>Spring</v>
      </c>
      <c r="J22" s="5">
        <f t="shared" si="7"/>
        <v>21</v>
      </c>
      <c r="K22" s="5">
        <f t="shared" si="8"/>
        <v>2024</v>
      </c>
    </row>
    <row r="23" spans="1:11" x14ac:dyDescent="0.3">
      <c r="A23" s="4" t="str">
        <f t="shared" si="0"/>
        <v>2024-22</v>
      </c>
      <c r="B23" s="4">
        <f>Calendar[[#This Row],[WeekStart]]</f>
        <v>45439</v>
      </c>
      <c r="C23" s="4">
        <f t="shared" si="9"/>
        <v>45439</v>
      </c>
      <c r="D23" s="4">
        <f t="shared" si="1"/>
        <v>45445</v>
      </c>
      <c r="E23" s="5">
        <f t="shared" si="2"/>
        <v>5</v>
      </c>
      <c r="F23" s="6" t="str">
        <f t="shared" si="3"/>
        <v>Q2</v>
      </c>
      <c r="G23" s="6" t="str">
        <f t="shared" si="4"/>
        <v>P05</v>
      </c>
      <c r="H23" s="5">
        <f t="shared" si="5"/>
        <v>0</v>
      </c>
      <c r="I23" s="6" t="str">
        <f t="shared" si="6"/>
        <v>Spring</v>
      </c>
      <c r="J23" s="5">
        <f t="shared" si="7"/>
        <v>22</v>
      </c>
      <c r="K23" s="5">
        <f t="shared" si="8"/>
        <v>2024</v>
      </c>
    </row>
    <row r="24" spans="1:11" x14ac:dyDescent="0.3">
      <c r="A24" s="4" t="str">
        <f t="shared" si="0"/>
        <v>2024-23</v>
      </c>
      <c r="B24" s="4">
        <f>Calendar[[#This Row],[WeekStart]]</f>
        <v>45446</v>
      </c>
      <c r="C24" s="4">
        <f t="shared" si="9"/>
        <v>45446</v>
      </c>
      <c r="D24" s="4">
        <f t="shared" si="1"/>
        <v>45452</v>
      </c>
      <c r="E24" s="5">
        <f t="shared" si="2"/>
        <v>6</v>
      </c>
      <c r="F24" s="6" t="str">
        <f t="shared" si="3"/>
        <v>Q2</v>
      </c>
      <c r="G24" s="6" t="str">
        <f t="shared" si="4"/>
        <v>P06</v>
      </c>
      <c r="H24" s="5">
        <f t="shared" si="5"/>
        <v>0</v>
      </c>
      <c r="I24" s="6" t="str">
        <f t="shared" si="6"/>
        <v>Summer</v>
      </c>
      <c r="J24" s="5">
        <f t="shared" si="7"/>
        <v>23</v>
      </c>
      <c r="K24" s="5">
        <f t="shared" si="8"/>
        <v>2024</v>
      </c>
    </row>
    <row r="25" spans="1:11" x14ac:dyDescent="0.3">
      <c r="A25" s="4" t="str">
        <f t="shared" si="0"/>
        <v>2024-24</v>
      </c>
      <c r="B25" s="4">
        <f>Calendar[[#This Row],[WeekStart]]</f>
        <v>45453</v>
      </c>
      <c r="C25" s="4">
        <f t="shared" si="9"/>
        <v>45453</v>
      </c>
      <c r="D25" s="4">
        <f t="shared" si="1"/>
        <v>45459</v>
      </c>
      <c r="E25" s="5">
        <f t="shared" si="2"/>
        <v>6</v>
      </c>
      <c r="F25" s="6" t="str">
        <f t="shared" si="3"/>
        <v>Q2</v>
      </c>
      <c r="G25" s="6" t="str">
        <f t="shared" si="4"/>
        <v>P06</v>
      </c>
      <c r="H25" s="5">
        <f t="shared" si="5"/>
        <v>0</v>
      </c>
      <c r="I25" s="6" t="str">
        <f t="shared" si="6"/>
        <v>Summer</v>
      </c>
      <c r="J25" s="5">
        <f t="shared" si="7"/>
        <v>24</v>
      </c>
      <c r="K25" s="5">
        <f t="shared" si="8"/>
        <v>2024</v>
      </c>
    </row>
    <row r="26" spans="1:11" x14ac:dyDescent="0.3">
      <c r="A26" s="4" t="str">
        <f t="shared" si="0"/>
        <v>2024-25</v>
      </c>
      <c r="B26" s="4">
        <f>Calendar[[#This Row],[WeekStart]]</f>
        <v>45460</v>
      </c>
      <c r="C26" s="4">
        <f t="shared" si="9"/>
        <v>45460</v>
      </c>
      <c r="D26" s="4">
        <f t="shared" si="1"/>
        <v>45466</v>
      </c>
      <c r="E26" s="5">
        <f t="shared" si="2"/>
        <v>6</v>
      </c>
      <c r="F26" s="6" t="str">
        <f t="shared" si="3"/>
        <v>Q2</v>
      </c>
      <c r="G26" s="6" t="str">
        <f t="shared" si="4"/>
        <v>P06</v>
      </c>
      <c r="H26" s="5">
        <f t="shared" si="5"/>
        <v>0</v>
      </c>
      <c r="I26" s="6" t="str">
        <f t="shared" si="6"/>
        <v>Summer</v>
      </c>
      <c r="J26" s="5">
        <f t="shared" si="7"/>
        <v>25</v>
      </c>
      <c r="K26" s="5">
        <f t="shared" si="8"/>
        <v>2024</v>
      </c>
    </row>
    <row r="27" spans="1:11" x14ac:dyDescent="0.3">
      <c r="A27" s="4" t="str">
        <f t="shared" si="0"/>
        <v>2024-26</v>
      </c>
      <c r="B27" s="4">
        <f>Calendar[[#This Row],[WeekStart]]</f>
        <v>45467</v>
      </c>
      <c r="C27" s="4">
        <f t="shared" si="9"/>
        <v>45467</v>
      </c>
      <c r="D27" s="4">
        <f t="shared" si="1"/>
        <v>45473</v>
      </c>
      <c r="E27" s="5">
        <f t="shared" si="2"/>
        <v>6</v>
      </c>
      <c r="F27" s="6" t="str">
        <f t="shared" si="3"/>
        <v>Q2</v>
      </c>
      <c r="G27" s="6" t="str">
        <f t="shared" si="4"/>
        <v>P06</v>
      </c>
      <c r="H27" s="5">
        <f t="shared" si="5"/>
        <v>0</v>
      </c>
      <c r="I27" s="6" t="str">
        <f t="shared" si="6"/>
        <v>Summer</v>
      </c>
      <c r="J27" s="5">
        <f t="shared" si="7"/>
        <v>26</v>
      </c>
      <c r="K27" s="5">
        <f t="shared" si="8"/>
        <v>2024</v>
      </c>
    </row>
    <row r="28" spans="1:11" x14ac:dyDescent="0.3">
      <c r="A28" s="4" t="str">
        <f t="shared" si="0"/>
        <v>2024-27</v>
      </c>
      <c r="B28" s="4">
        <f>Calendar[[#This Row],[WeekStart]]</f>
        <v>45474</v>
      </c>
      <c r="C28" s="4">
        <f t="shared" si="9"/>
        <v>45474</v>
      </c>
      <c r="D28" s="4">
        <f t="shared" si="1"/>
        <v>45480</v>
      </c>
      <c r="E28" s="5">
        <f t="shared" si="2"/>
        <v>7</v>
      </c>
      <c r="F28" s="6" t="str">
        <f t="shared" si="3"/>
        <v>Q3</v>
      </c>
      <c r="G28" s="6" t="str">
        <f t="shared" si="4"/>
        <v>P07</v>
      </c>
      <c r="H28" s="5">
        <f t="shared" si="5"/>
        <v>0</v>
      </c>
      <c r="I28" s="6" t="str">
        <f t="shared" si="6"/>
        <v>Summer</v>
      </c>
      <c r="J28" s="5">
        <f t="shared" si="7"/>
        <v>27</v>
      </c>
      <c r="K28" s="5">
        <f t="shared" si="8"/>
        <v>2024</v>
      </c>
    </row>
    <row r="29" spans="1:11" x14ac:dyDescent="0.3">
      <c r="A29" s="4" t="str">
        <f t="shared" si="0"/>
        <v>2024-28</v>
      </c>
      <c r="B29" s="4">
        <f>Calendar[[#This Row],[WeekStart]]</f>
        <v>45481</v>
      </c>
      <c r="C29" s="4">
        <f t="shared" si="9"/>
        <v>45481</v>
      </c>
      <c r="D29" s="4">
        <f t="shared" si="1"/>
        <v>45487</v>
      </c>
      <c r="E29" s="5">
        <f t="shared" si="2"/>
        <v>7</v>
      </c>
      <c r="F29" s="6" t="str">
        <f t="shared" si="3"/>
        <v>Q3</v>
      </c>
      <c r="G29" s="6" t="str">
        <f t="shared" si="4"/>
        <v>P07</v>
      </c>
      <c r="H29" s="5">
        <f t="shared" si="5"/>
        <v>0</v>
      </c>
      <c r="I29" s="6" t="str">
        <f t="shared" si="6"/>
        <v>Summer</v>
      </c>
      <c r="J29" s="5">
        <f t="shared" si="7"/>
        <v>28</v>
      </c>
      <c r="K29" s="5">
        <f t="shared" si="8"/>
        <v>2024</v>
      </c>
    </row>
    <row r="30" spans="1:11" x14ac:dyDescent="0.3">
      <c r="A30" s="4" t="str">
        <f t="shared" si="0"/>
        <v>2024-29</v>
      </c>
      <c r="B30" s="4">
        <f>Calendar[[#This Row],[WeekStart]]</f>
        <v>45488</v>
      </c>
      <c r="C30" s="4">
        <f t="shared" si="9"/>
        <v>45488</v>
      </c>
      <c r="D30" s="4">
        <f t="shared" si="1"/>
        <v>45494</v>
      </c>
      <c r="E30" s="5">
        <f t="shared" si="2"/>
        <v>7</v>
      </c>
      <c r="F30" s="6" t="str">
        <f t="shared" si="3"/>
        <v>Q3</v>
      </c>
      <c r="G30" s="6" t="str">
        <f t="shared" si="4"/>
        <v>P07</v>
      </c>
      <c r="H30" s="5">
        <f t="shared" si="5"/>
        <v>0</v>
      </c>
      <c r="I30" s="6" t="str">
        <f t="shared" si="6"/>
        <v>Summer</v>
      </c>
      <c r="J30" s="5">
        <f t="shared" si="7"/>
        <v>29</v>
      </c>
      <c r="K30" s="5">
        <f t="shared" si="8"/>
        <v>2024</v>
      </c>
    </row>
    <row r="31" spans="1:11" x14ac:dyDescent="0.3">
      <c r="A31" s="4" t="str">
        <f t="shared" si="0"/>
        <v>2024-30</v>
      </c>
      <c r="B31" s="4">
        <f>Calendar[[#This Row],[WeekStart]]</f>
        <v>45495</v>
      </c>
      <c r="C31" s="4">
        <f t="shared" si="9"/>
        <v>45495</v>
      </c>
      <c r="D31" s="4">
        <f t="shared" si="1"/>
        <v>45501</v>
      </c>
      <c r="E31" s="5">
        <f t="shared" si="2"/>
        <v>7</v>
      </c>
      <c r="F31" s="6" t="str">
        <f t="shared" si="3"/>
        <v>Q3</v>
      </c>
      <c r="G31" s="6" t="str">
        <f t="shared" si="4"/>
        <v>P07</v>
      </c>
      <c r="H31" s="5">
        <f t="shared" si="5"/>
        <v>0</v>
      </c>
      <c r="I31" s="6" t="str">
        <f t="shared" si="6"/>
        <v>Summer</v>
      </c>
      <c r="J31" s="5">
        <f t="shared" si="7"/>
        <v>30</v>
      </c>
      <c r="K31" s="5">
        <f t="shared" si="8"/>
        <v>2024</v>
      </c>
    </row>
    <row r="32" spans="1:11" x14ac:dyDescent="0.3">
      <c r="A32" s="4" t="str">
        <f t="shared" si="0"/>
        <v>2024-31</v>
      </c>
      <c r="B32" s="4">
        <f>Calendar[[#This Row],[WeekStart]]</f>
        <v>45502</v>
      </c>
      <c r="C32" s="4">
        <f t="shared" si="9"/>
        <v>45502</v>
      </c>
      <c r="D32" s="4">
        <f t="shared" si="1"/>
        <v>45508</v>
      </c>
      <c r="E32" s="5">
        <f t="shared" si="2"/>
        <v>7</v>
      </c>
      <c r="F32" s="6" t="str">
        <f t="shared" si="3"/>
        <v>Q3</v>
      </c>
      <c r="G32" s="6" t="str">
        <f t="shared" si="4"/>
        <v>P07</v>
      </c>
      <c r="H32" s="5">
        <f t="shared" si="5"/>
        <v>0</v>
      </c>
      <c r="I32" s="6" t="str">
        <f t="shared" si="6"/>
        <v>Summer</v>
      </c>
      <c r="J32" s="5">
        <f t="shared" si="7"/>
        <v>31</v>
      </c>
      <c r="K32" s="5">
        <f t="shared" si="8"/>
        <v>2024</v>
      </c>
    </row>
    <row r="33" spans="1:11" x14ac:dyDescent="0.3">
      <c r="A33" s="4" t="str">
        <f t="shared" si="0"/>
        <v>2024-32</v>
      </c>
      <c r="B33" s="4">
        <f>Calendar[[#This Row],[WeekStart]]</f>
        <v>45509</v>
      </c>
      <c r="C33" s="4">
        <f t="shared" si="9"/>
        <v>45509</v>
      </c>
      <c r="D33" s="4">
        <f t="shared" si="1"/>
        <v>45515</v>
      </c>
      <c r="E33" s="5">
        <f t="shared" si="2"/>
        <v>8</v>
      </c>
      <c r="F33" s="6" t="str">
        <f t="shared" si="3"/>
        <v>Q3</v>
      </c>
      <c r="G33" s="6" t="str">
        <f t="shared" si="4"/>
        <v>P08</v>
      </c>
      <c r="H33" s="5">
        <f t="shared" si="5"/>
        <v>0</v>
      </c>
      <c r="I33" s="6" t="str">
        <f t="shared" si="6"/>
        <v>Summer</v>
      </c>
      <c r="J33" s="5">
        <f t="shared" si="7"/>
        <v>32</v>
      </c>
      <c r="K33" s="5">
        <f t="shared" si="8"/>
        <v>2024</v>
      </c>
    </row>
    <row r="34" spans="1:11" x14ac:dyDescent="0.3">
      <c r="A34" s="4" t="str">
        <f t="shared" si="0"/>
        <v>2024-33</v>
      </c>
      <c r="B34" s="4">
        <f>Calendar[[#This Row],[WeekStart]]</f>
        <v>45516</v>
      </c>
      <c r="C34" s="4">
        <f t="shared" si="9"/>
        <v>45516</v>
      </c>
      <c r="D34" s="4">
        <f t="shared" si="1"/>
        <v>45522</v>
      </c>
      <c r="E34" s="5">
        <f t="shared" si="2"/>
        <v>8</v>
      </c>
      <c r="F34" s="6" t="str">
        <f t="shared" si="3"/>
        <v>Q3</v>
      </c>
      <c r="G34" s="6" t="str">
        <f t="shared" si="4"/>
        <v>P08</v>
      </c>
      <c r="H34" s="5">
        <f t="shared" si="5"/>
        <v>1</v>
      </c>
      <c r="I34" s="6" t="str">
        <f t="shared" si="6"/>
        <v>Summer</v>
      </c>
      <c r="J34" s="5">
        <f t="shared" si="7"/>
        <v>33</v>
      </c>
      <c r="K34" s="5">
        <f t="shared" si="8"/>
        <v>2024</v>
      </c>
    </row>
    <row r="35" spans="1:11" x14ac:dyDescent="0.3">
      <c r="A35" s="4" t="str">
        <f t="shared" si="0"/>
        <v>2024-34</v>
      </c>
      <c r="B35" s="4">
        <f>Calendar[[#This Row],[WeekStart]]</f>
        <v>45523</v>
      </c>
      <c r="C35" s="4">
        <f t="shared" si="9"/>
        <v>45523</v>
      </c>
      <c r="D35" s="4">
        <f t="shared" si="1"/>
        <v>45529</v>
      </c>
      <c r="E35" s="5">
        <f t="shared" si="2"/>
        <v>8</v>
      </c>
      <c r="F35" s="6" t="str">
        <f t="shared" si="3"/>
        <v>Q3</v>
      </c>
      <c r="G35" s="6" t="str">
        <f t="shared" si="4"/>
        <v>P08</v>
      </c>
      <c r="H35" s="5">
        <f t="shared" si="5"/>
        <v>0</v>
      </c>
      <c r="I35" s="6" t="str">
        <f t="shared" si="6"/>
        <v>Summer</v>
      </c>
      <c r="J35" s="5">
        <f t="shared" si="7"/>
        <v>34</v>
      </c>
      <c r="K35" s="5">
        <f t="shared" si="8"/>
        <v>2024</v>
      </c>
    </row>
    <row r="36" spans="1:11" x14ac:dyDescent="0.3">
      <c r="A36" s="4" t="str">
        <f t="shared" si="0"/>
        <v>2024-35</v>
      </c>
      <c r="B36" s="4">
        <f>Calendar[[#This Row],[WeekStart]]</f>
        <v>45530</v>
      </c>
      <c r="C36" s="4">
        <f t="shared" si="9"/>
        <v>45530</v>
      </c>
      <c r="D36" s="4">
        <f t="shared" si="1"/>
        <v>45536</v>
      </c>
      <c r="E36" s="5">
        <f t="shared" si="2"/>
        <v>8</v>
      </c>
      <c r="F36" s="6" t="str">
        <f t="shared" si="3"/>
        <v>Q3</v>
      </c>
      <c r="G36" s="6" t="str">
        <f t="shared" si="4"/>
        <v>P08</v>
      </c>
      <c r="H36" s="5">
        <f t="shared" si="5"/>
        <v>0</v>
      </c>
      <c r="I36" s="6" t="str">
        <f t="shared" si="6"/>
        <v>Summer</v>
      </c>
      <c r="J36" s="5">
        <f t="shared" si="7"/>
        <v>35</v>
      </c>
      <c r="K36" s="5">
        <f t="shared" si="8"/>
        <v>2024</v>
      </c>
    </row>
    <row r="37" spans="1:11" x14ac:dyDescent="0.3">
      <c r="A37" s="4" t="str">
        <f t="shared" si="0"/>
        <v>2024-36</v>
      </c>
      <c r="B37" s="4">
        <f>Calendar[[#This Row],[WeekStart]]</f>
        <v>45537</v>
      </c>
      <c r="C37" s="4">
        <f t="shared" si="9"/>
        <v>45537</v>
      </c>
      <c r="D37" s="4">
        <f t="shared" si="1"/>
        <v>45543</v>
      </c>
      <c r="E37" s="5">
        <f t="shared" si="2"/>
        <v>9</v>
      </c>
      <c r="F37" s="6" t="str">
        <f t="shared" si="3"/>
        <v>Q3</v>
      </c>
      <c r="G37" s="6" t="str">
        <f t="shared" si="4"/>
        <v>P09</v>
      </c>
      <c r="H37" s="5">
        <f t="shared" si="5"/>
        <v>0</v>
      </c>
      <c r="I37" s="6" t="str">
        <f t="shared" si="6"/>
        <v>Autumn</v>
      </c>
      <c r="J37" s="5">
        <f t="shared" si="7"/>
        <v>36</v>
      </c>
      <c r="K37" s="5">
        <f t="shared" si="8"/>
        <v>2024</v>
      </c>
    </row>
    <row r="38" spans="1:11" x14ac:dyDescent="0.3">
      <c r="A38" s="4" t="str">
        <f t="shared" si="0"/>
        <v>2024-37</v>
      </c>
      <c r="B38" s="4">
        <f>Calendar[[#This Row],[WeekStart]]</f>
        <v>45544</v>
      </c>
      <c r="C38" s="4">
        <f t="shared" si="9"/>
        <v>45544</v>
      </c>
      <c r="D38" s="4">
        <f t="shared" si="1"/>
        <v>45550</v>
      </c>
      <c r="E38" s="5">
        <f t="shared" si="2"/>
        <v>9</v>
      </c>
      <c r="F38" s="6" t="str">
        <f t="shared" si="3"/>
        <v>Q3</v>
      </c>
      <c r="G38" s="6" t="str">
        <f t="shared" si="4"/>
        <v>P09</v>
      </c>
      <c r="H38" s="5">
        <f t="shared" si="5"/>
        <v>0</v>
      </c>
      <c r="I38" s="6" t="str">
        <f t="shared" si="6"/>
        <v>Autumn</v>
      </c>
      <c r="J38" s="5">
        <f t="shared" si="7"/>
        <v>37</v>
      </c>
      <c r="K38" s="5">
        <f t="shared" si="8"/>
        <v>2024</v>
      </c>
    </row>
    <row r="39" spans="1:11" x14ac:dyDescent="0.3">
      <c r="A39" s="4" t="str">
        <f t="shared" si="0"/>
        <v>2024-38</v>
      </c>
      <c r="B39" s="4">
        <f>Calendar[[#This Row],[WeekStart]]</f>
        <v>45551</v>
      </c>
      <c r="C39" s="4">
        <f t="shared" si="9"/>
        <v>45551</v>
      </c>
      <c r="D39" s="4">
        <f t="shared" si="1"/>
        <v>45557</v>
      </c>
      <c r="E39" s="5">
        <f t="shared" si="2"/>
        <v>9</v>
      </c>
      <c r="F39" s="6" t="str">
        <f t="shared" si="3"/>
        <v>Q3</v>
      </c>
      <c r="G39" s="6" t="str">
        <f t="shared" si="4"/>
        <v>P09</v>
      </c>
      <c r="H39" s="5">
        <f>IF(OR(A39="2024-01",A39="2024-11",A39="2024-13",A39="2024-14",
       A39="2024-18",A39="2024-21",A39="2024-33",A39="2024-43",
       A39="2024-44",A39="2024-52"),1,0)</f>
        <v>0</v>
      </c>
      <c r="I39" s="6" t="str">
        <f t="shared" si="6"/>
        <v>Autumn</v>
      </c>
      <c r="J39" s="5">
        <f t="shared" si="7"/>
        <v>38</v>
      </c>
      <c r="K39" s="5">
        <f t="shared" si="8"/>
        <v>2024</v>
      </c>
    </row>
    <row r="40" spans="1:11" x14ac:dyDescent="0.3">
      <c r="A40" s="4" t="str">
        <f t="shared" si="0"/>
        <v>2024-39</v>
      </c>
      <c r="B40" s="4">
        <f>Calendar[[#This Row],[WeekStart]]</f>
        <v>45558</v>
      </c>
      <c r="C40" s="4">
        <f t="shared" si="9"/>
        <v>45558</v>
      </c>
      <c r="D40" s="4">
        <f t="shared" si="1"/>
        <v>45564</v>
      </c>
      <c r="E40" s="5">
        <f t="shared" si="2"/>
        <v>9</v>
      </c>
      <c r="F40" s="6" t="str">
        <f t="shared" si="3"/>
        <v>Q3</v>
      </c>
      <c r="G40" s="6" t="str">
        <f t="shared" si="4"/>
        <v>P09</v>
      </c>
      <c r="H40" s="5">
        <f t="shared" si="5"/>
        <v>0</v>
      </c>
      <c r="I40" s="6" t="str">
        <f t="shared" si="6"/>
        <v>Autumn</v>
      </c>
      <c r="J40" s="5">
        <f t="shared" si="7"/>
        <v>39</v>
      </c>
      <c r="K40" s="5">
        <f t="shared" si="8"/>
        <v>2024</v>
      </c>
    </row>
    <row r="41" spans="1:11" x14ac:dyDescent="0.3">
      <c r="A41" s="4" t="str">
        <f t="shared" si="0"/>
        <v>2024-40</v>
      </c>
      <c r="B41" s="4">
        <f>Calendar[[#This Row],[WeekStart]]</f>
        <v>45565</v>
      </c>
      <c r="C41" s="4">
        <f t="shared" si="9"/>
        <v>45565</v>
      </c>
      <c r="D41" s="4">
        <f t="shared" si="1"/>
        <v>45571</v>
      </c>
      <c r="E41" s="5">
        <f t="shared" si="2"/>
        <v>9</v>
      </c>
      <c r="F41" s="6" t="str">
        <f t="shared" si="3"/>
        <v>Q3</v>
      </c>
      <c r="G41" s="6" t="str">
        <f t="shared" si="4"/>
        <v>P09</v>
      </c>
      <c r="H41" s="5">
        <f t="shared" si="5"/>
        <v>0</v>
      </c>
      <c r="I41" s="6" t="str">
        <f t="shared" si="6"/>
        <v>Autumn</v>
      </c>
      <c r="J41" s="5">
        <f t="shared" si="7"/>
        <v>40</v>
      </c>
      <c r="K41" s="5">
        <f t="shared" si="8"/>
        <v>2024</v>
      </c>
    </row>
    <row r="42" spans="1:11" x14ac:dyDescent="0.3">
      <c r="A42" s="4" t="str">
        <f t="shared" si="0"/>
        <v>2024-41</v>
      </c>
      <c r="B42" s="4">
        <f>Calendar[[#This Row],[WeekStart]]</f>
        <v>45572</v>
      </c>
      <c r="C42" s="4">
        <f t="shared" si="9"/>
        <v>45572</v>
      </c>
      <c r="D42" s="4">
        <f t="shared" si="1"/>
        <v>45578</v>
      </c>
      <c r="E42" s="5">
        <f t="shared" si="2"/>
        <v>10</v>
      </c>
      <c r="F42" s="6" t="str">
        <f t="shared" si="3"/>
        <v>Q4</v>
      </c>
      <c r="G42" s="6" t="str">
        <f t="shared" si="4"/>
        <v>P10</v>
      </c>
      <c r="H42" s="5">
        <f t="shared" si="5"/>
        <v>0</v>
      </c>
      <c r="I42" s="6" t="str">
        <f t="shared" si="6"/>
        <v>Autumn</v>
      </c>
      <c r="J42" s="5">
        <f t="shared" si="7"/>
        <v>41</v>
      </c>
      <c r="K42" s="5">
        <f t="shared" si="8"/>
        <v>2024</v>
      </c>
    </row>
    <row r="43" spans="1:11" x14ac:dyDescent="0.3">
      <c r="A43" s="4" t="str">
        <f t="shared" si="0"/>
        <v>2024-42</v>
      </c>
      <c r="B43" s="4">
        <f>Calendar[[#This Row],[WeekStart]]</f>
        <v>45579</v>
      </c>
      <c r="C43" s="4">
        <f t="shared" si="9"/>
        <v>45579</v>
      </c>
      <c r="D43" s="4">
        <f t="shared" si="1"/>
        <v>45585</v>
      </c>
      <c r="E43" s="5">
        <f t="shared" si="2"/>
        <v>10</v>
      </c>
      <c r="F43" s="6" t="str">
        <f t="shared" si="3"/>
        <v>Q4</v>
      </c>
      <c r="G43" s="6" t="str">
        <f t="shared" si="4"/>
        <v>P10</v>
      </c>
      <c r="H43" s="5">
        <f t="shared" si="5"/>
        <v>0</v>
      </c>
      <c r="I43" s="6" t="str">
        <f t="shared" si="6"/>
        <v>Autumn</v>
      </c>
      <c r="J43" s="5">
        <f t="shared" si="7"/>
        <v>42</v>
      </c>
      <c r="K43" s="5">
        <f t="shared" si="8"/>
        <v>2024</v>
      </c>
    </row>
    <row r="44" spans="1:11" x14ac:dyDescent="0.3">
      <c r="A44" s="4" t="str">
        <f t="shared" si="0"/>
        <v>2024-43</v>
      </c>
      <c r="B44" s="4">
        <f>Calendar[[#This Row],[WeekStart]]</f>
        <v>45586</v>
      </c>
      <c r="C44" s="4">
        <f t="shared" si="9"/>
        <v>45586</v>
      </c>
      <c r="D44" s="4">
        <f t="shared" si="1"/>
        <v>45592</v>
      </c>
      <c r="E44" s="5">
        <f t="shared" si="2"/>
        <v>10</v>
      </c>
      <c r="F44" s="6" t="str">
        <f t="shared" si="3"/>
        <v>Q4</v>
      </c>
      <c r="G44" s="6" t="str">
        <f t="shared" si="4"/>
        <v>P10</v>
      </c>
      <c r="H44" s="5">
        <f t="shared" si="5"/>
        <v>1</v>
      </c>
      <c r="I44" s="6" t="str">
        <f t="shared" si="6"/>
        <v>Autumn</v>
      </c>
      <c r="J44" s="5">
        <f t="shared" si="7"/>
        <v>43</v>
      </c>
      <c r="K44" s="5">
        <f t="shared" si="8"/>
        <v>2024</v>
      </c>
    </row>
    <row r="45" spans="1:11" x14ac:dyDescent="0.3">
      <c r="A45" s="4" t="str">
        <f t="shared" si="0"/>
        <v>2024-44</v>
      </c>
      <c r="B45" s="4">
        <f>Calendar[[#This Row],[WeekStart]]</f>
        <v>45593</v>
      </c>
      <c r="C45" s="4">
        <f t="shared" si="9"/>
        <v>45593</v>
      </c>
      <c r="D45" s="4">
        <f t="shared" si="1"/>
        <v>45599</v>
      </c>
      <c r="E45" s="5">
        <f t="shared" si="2"/>
        <v>10</v>
      </c>
      <c r="F45" s="6" t="str">
        <f t="shared" si="3"/>
        <v>Q4</v>
      </c>
      <c r="G45" s="6" t="str">
        <f t="shared" si="4"/>
        <v>P10</v>
      </c>
      <c r="H45" s="5">
        <f t="shared" si="5"/>
        <v>1</v>
      </c>
      <c r="I45" s="6" t="str">
        <f t="shared" si="6"/>
        <v>Autumn</v>
      </c>
      <c r="J45" s="5">
        <f t="shared" si="7"/>
        <v>44</v>
      </c>
      <c r="K45" s="5">
        <f t="shared" si="8"/>
        <v>2024</v>
      </c>
    </row>
    <row r="46" spans="1:11" x14ac:dyDescent="0.3">
      <c r="A46" s="4" t="str">
        <f t="shared" si="0"/>
        <v>2024-45</v>
      </c>
      <c r="B46" s="4">
        <f>Calendar[[#This Row],[WeekStart]]</f>
        <v>45600</v>
      </c>
      <c r="C46" s="4">
        <f t="shared" si="9"/>
        <v>45600</v>
      </c>
      <c r="D46" s="4">
        <f t="shared" si="1"/>
        <v>45606</v>
      </c>
      <c r="E46" s="5">
        <f t="shared" si="2"/>
        <v>11</v>
      </c>
      <c r="F46" s="6" t="str">
        <f t="shared" si="3"/>
        <v>Q4</v>
      </c>
      <c r="G46" s="6" t="str">
        <f t="shared" si="4"/>
        <v>P11</v>
      </c>
      <c r="H46" s="5">
        <f t="shared" si="5"/>
        <v>0</v>
      </c>
      <c r="I46" s="6" t="str">
        <f t="shared" si="6"/>
        <v>Autumn</v>
      </c>
      <c r="J46" s="5">
        <f t="shared" si="7"/>
        <v>45</v>
      </c>
      <c r="K46" s="5">
        <f t="shared" si="8"/>
        <v>2024</v>
      </c>
    </row>
    <row r="47" spans="1:11" x14ac:dyDescent="0.3">
      <c r="A47" s="4" t="str">
        <f t="shared" si="0"/>
        <v>2024-46</v>
      </c>
      <c r="B47" s="4">
        <f>Calendar[[#This Row],[WeekStart]]</f>
        <v>45607</v>
      </c>
      <c r="C47" s="4">
        <f t="shared" si="9"/>
        <v>45607</v>
      </c>
      <c r="D47" s="4">
        <f t="shared" si="1"/>
        <v>45613</v>
      </c>
      <c r="E47" s="5">
        <f t="shared" si="2"/>
        <v>11</v>
      </c>
      <c r="F47" s="6" t="str">
        <f t="shared" si="3"/>
        <v>Q4</v>
      </c>
      <c r="G47" s="6" t="str">
        <f t="shared" si="4"/>
        <v>P11</v>
      </c>
      <c r="H47" s="5">
        <f t="shared" si="5"/>
        <v>0</v>
      </c>
      <c r="I47" s="6" t="str">
        <f t="shared" si="6"/>
        <v>Autumn</v>
      </c>
      <c r="J47" s="5">
        <f t="shared" si="7"/>
        <v>46</v>
      </c>
      <c r="K47" s="5">
        <f t="shared" si="8"/>
        <v>2024</v>
      </c>
    </row>
    <row r="48" spans="1:11" x14ac:dyDescent="0.3">
      <c r="A48" s="4" t="str">
        <f t="shared" si="0"/>
        <v>2024-47</v>
      </c>
      <c r="B48" s="4">
        <f>Calendar[[#This Row],[WeekStart]]</f>
        <v>45614</v>
      </c>
      <c r="C48" s="4">
        <f t="shared" si="9"/>
        <v>45614</v>
      </c>
      <c r="D48" s="4">
        <f t="shared" si="1"/>
        <v>45620</v>
      </c>
      <c r="E48" s="5">
        <f t="shared" si="2"/>
        <v>11</v>
      </c>
      <c r="F48" s="6" t="str">
        <f t="shared" si="3"/>
        <v>Q4</v>
      </c>
      <c r="G48" s="6" t="str">
        <f t="shared" si="4"/>
        <v>P11</v>
      </c>
      <c r="H48" s="5">
        <f t="shared" si="5"/>
        <v>0</v>
      </c>
      <c r="I48" s="6" t="str">
        <f t="shared" si="6"/>
        <v>Autumn</v>
      </c>
      <c r="J48" s="5">
        <f t="shared" si="7"/>
        <v>47</v>
      </c>
      <c r="K48" s="5">
        <f t="shared" si="8"/>
        <v>2024</v>
      </c>
    </row>
    <row r="49" spans="1:11" x14ac:dyDescent="0.3">
      <c r="A49" s="4" t="str">
        <f t="shared" si="0"/>
        <v>2024-48</v>
      </c>
      <c r="B49" s="4">
        <f>Calendar[[#This Row],[WeekStart]]</f>
        <v>45621</v>
      </c>
      <c r="C49" s="4">
        <f t="shared" si="9"/>
        <v>45621</v>
      </c>
      <c r="D49" s="4">
        <f t="shared" si="1"/>
        <v>45627</v>
      </c>
      <c r="E49" s="5">
        <f t="shared" si="2"/>
        <v>11</v>
      </c>
      <c r="F49" s="6" t="str">
        <f t="shared" si="3"/>
        <v>Q4</v>
      </c>
      <c r="G49" s="6" t="str">
        <f t="shared" si="4"/>
        <v>P11</v>
      </c>
      <c r="H49" s="5">
        <f t="shared" si="5"/>
        <v>0</v>
      </c>
      <c r="I49" s="6" t="str">
        <f t="shared" si="6"/>
        <v>Autumn</v>
      </c>
      <c r="J49" s="5">
        <f t="shared" si="7"/>
        <v>48</v>
      </c>
      <c r="K49" s="5">
        <f t="shared" si="8"/>
        <v>2024</v>
      </c>
    </row>
    <row r="50" spans="1:11" x14ac:dyDescent="0.3">
      <c r="A50" s="4" t="str">
        <f t="shared" si="0"/>
        <v>2024-49</v>
      </c>
      <c r="B50" s="4">
        <f>Calendar[[#This Row],[WeekStart]]</f>
        <v>45628</v>
      </c>
      <c r="C50" s="4">
        <f t="shared" si="9"/>
        <v>45628</v>
      </c>
      <c r="D50" s="4">
        <f t="shared" si="1"/>
        <v>45634</v>
      </c>
      <c r="E50" s="5">
        <f t="shared" si="2"/>
        <v>12</v>
      </c>
      <c r="F50" s="6" t="str">
        <f t="shared" si="3"/>
        <v>Q4</v>
      </c>
      <c r="G50" s="6" t="str">
        <f t="shared" si="4"/>
        <v>P12</v>
      </c>
      <c r="H50" s="5">
        <f t="shared" si="5"/>
        <v>0</v>
      </c>
      <c r="I50" s="6" t="str">
        <f t="shared" si="6"/>
        <v>Winter</v>
      </c>
      <c r="J50" s="5">
        <f t="shared" si="7"/>
        <v>49</v>
      </c>
      <c r="K50" s="5">
        <f t="shared" si="8"/>
        <v>2024</v>
      </c>
    </row>
    <row r="51" spans="1:11" x14ac:dyDescent="0.3">
      <c r="A51" s="4" t="str">
        <f t="shared" si="0"/>
        <v>2024-50</v>
      </c>
      <c r="B51" s="4">
        <f>Calendar[[#This Row],[WeekStart]]</f>
        <v>45635</v>
      </c>
      <c r="C51" s="4">
        <f t="shared" si="9"/>
        <v>45635</v>
      </c>
      <c r="D51" s="4">
        <f t="shared" si="1"/>
        <v>45641</v>
      </c>
      <c r="E51" s="5">
        <f t="shared" si="2"/>
        <v>12</v>
      </c>
      <c r="F51" s="6" t="str">
        <f t="shared" si="3"/>
        <v>Q4</v>
      </c>
      <c r="G51" s="6" t="str">
        <f t="shared" si="4"/>
        <v>P12</v>
      </c>
      <c r="H51" s="5">
        <f t="shared" si="5"/>
        <v>0</v>
      </c>
      <c r="I51" s="6" t="str">
        <f t="shared" si="6"/>
        <v>Winter</v>
      </c>
      <c r="J51" s="5">
        <f t="shared" si="7"/>
        <v>50</v>
      </c>
      <c r="K51" s="5">
        <f t="shared" si="8"/>
        <v>2024</v>
      </c>
    </row>
    <row r="52" spans="1:11" x14ac:dyDescent="0.3">
      <c r="A52" s="4" t="str">
        <f t="shared" si="0"/>
        <v>2024-51</v>
      </c>
      <c r="B52" s="4">
        <f>Calendar[[#This Row],[WeekStart]]</f>
        <v>45642</v>
      </c>
      <c r="C52" s="4">
        <f t="shared" si="9"/>
        <v>45642</v>
      </c>
      <c r="D52" s="4">
        <f t="shared" si="1"/>
        <v>45648</v>
      </c>
      <c r="E52" s="5">
        <f t="shared" si="2"/>
        <v>12</v>
      </c>
      <c r="F52" s="6" t="str">
        <f t="shared" si="3"/>
        <v>Q4</v>
      </c>
      <c r="G52" s="6" t="str">
        <f t="shared" si="4"/>
        <v>P12</v>
      </c>
      <c r="H52" s="5">
        <f t="shared" si="5"/>
        <v>0</v>
      </c>
      <c r="I52" s="6" t="str">
        <f t="shared" si="6"/>
        <v>Winter</v>
      </c>
      <c r="J52" s="5">
        <f t="shared" si="7"/>
        <v>51</v>
      </c>
      <c r="K52" s="5">
        <f t="shared" si="8"/>
        <v>2024</v>
      </c>
    </row>
    <row r="53" spans="1:11" x14ac:dyDescent="0.3">
      <c r="A53" s="4" t="str">
        <f>"2024-" &amp; TEXT(ROW(A52),"00")</f>
        <v>2024-52</v>
      </c>
      <c r="B53" s="4">
        <f>Calendar[[#This Row],[WeekStart]]</f>
        <v>45649</v>
      </c>
      <c r="C53" s="4">
        <f t="shared" si="9"/>
        <v>45649</v>
      </c>
      <c r="D53" s="4">
        <f t="shared" si="1"/>
        <v>45655</v>
      </c>
      <c r="E53" s="5">
        <f t="shared" si="2"/>
        <v>12</v>
      </c>
      <c r="F53" s="6" t="str">
        <f t="shared" si="3"/>
        <v>Q4</v>
      </c>
      <c r="G53" s="6" t="str">
        <f t="shared" si="4"/>
        <v>P12</v>
      </c>
      <c r="H53" s="5">
        <f t="shared" si="5"/>
        <v>1</v>
      </c>
      <c r="I53" s="6" t="str">
        <f t="shared" si="6"/>
        <v>Winter</v>
      </c>
      <c r="J53" s="5">
        <f t="shared" si="7"/>
        <v>52</v>
      </c>
      <c r="K53" s="5">
        <f t="shared" si="8"/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Calendar</vt:lpstr>
      <vt:lpstr>Calendar_YearWeek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Viktória Zetkó</dc:creator>
  <cp:lastModifiedBy>Viktória Zetkó</cp:lastModifiedBy>
  <dcterms:created xsi:type="dcterms:W3CDTF">2025-10-24T12:16:51Z</dcterms:created>
  <dcterms:modified xsi:type="dcterms:W3CDTF">2025-11-05T13:15:12Z</dcterms:modified>
</cp:coreProperties>
</file>